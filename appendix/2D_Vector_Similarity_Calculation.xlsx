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조근하\Downloads\"/>
    </mc:Choice>
  </mc:AlternateContent>
  <xr:revisionPtr revIDLastSave="0" documentId="13_ncr:1_{AB4CFA7B-1EDF-4110-9915-495B55E478B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내적 및 코사인 유사도" sheetId="1" r:id="rId1"/>
  </sheets>
  <calcPr calcId="191029"/>
</workbook>
</file>

<file path=xl/calcChain.xml><?xml version="1.0" encoding="utf-8"?>
<calcChain xmlns="http://schemas.openxmlformats.org/spreadsheetml/2006/main">
  <c r="P27" i="1" l="1"/>
  <c r="O27" i="1"/>
  <c r="O26" i="1"/>
  <c r="N26" i="1"/>
  <c r="N27" i="1"/>
  <c r="N25" i="1"/>
  <c r="M25" i="1"/>
  <c r="M26" i="1"/>
  <c r="M27" i="1"/>
  <c r="M24" i="1"/>
  <c r="L24" i="1"/>
  <c r="L25" i="1"/>
  <c r="L26" i="1"/>
  <c r="L27" i="1"/>
  <c r="L23" i="1"/>
  <c r="E28" i="1"/>
  <c r="D28" i="1"/>
  <c r="C28" i="1"/>
  <c r="E27" i="1"/>
  <c r="D27" i="1"/>
  <c r="C27" i="1"/>
  <c r="G26" i="1"/>
  <c r="E26" i="1"/>
  <c r="D26" i="1"/>
  <c r="C26" i="1"/>
  <c r="E25" i="1"/>
  <c r="D25" i="1"/>
  <c r="C25" i="1"/>
  <c r="G24" i="1"/>
  <c r="E24" i="1"/>
  <c r="H24" i="1" s="1"/>
  <c r="D24" i="1"/>
  <c r="C24" i="1"/>
  <c r="E23" i="1"/>
  <c r="D23" i="1"/>
  <c r="C23" i="1"/>
  <c r="G22" i="1"/>
  <c r="E22" i="1"/>
  <c r="D22" i="1"/>
  <c r="C22" i="1"/>
  <c r="E21" i="1"/>
  <c r="D21" i="1"/>
  <c r="C21" i="1"/>
  <c r="E20" i="1"/>
  <c r="D20" i="1"/>
  <c r="C20" i="1"/>
  <c r="E19" i="1"/>
  <c r="D19" i="1"/>
  <c r="C19" i="1"/>
  <c r="G18" i="1"/>
  <c r="F18" i="1"/>
  <c r="H18" i="1" s="1"/>
  <c r="E18" i="1"/>
  <c r="D18" i="1"/>
  <c r="C18" i="1"/>
  <c r="F17" i="1"/>
  <c r="E17" i="1"/>
  <c r="D17" i="1"/>
  <c r="C17" i="1"/>
  <c r="E16" i="1"/>
  <c r="D16" i="1"/>
  <c r="C16" i="1"/>
  <c r="F15" i="1"/>
  <c r="E15" i="1"/>
  <c r="D15" i="1"/>
  <c r="C15" i="1"/>
  <c r="F14" i="1"/>
  <c r="E14" i="1"/>
  <c r="D14" i="1"/>
  <c r="C14" i="1"/>
  <c r="E10" i="1"/>
  <c r="G28" i="1" s="1"/>
  <c r="E9" i="1"/>
  <c r="F28" i="1" s="1"/>
  <c r="E8" i="1"/>
  <c r="F27" i="1" s="1"/>
  <c r="E7" i="1"/>
  <c r="F24" i="1" s="1"/>
  <c r="E6" i="1"/>
  <c r="F19" i="1" s="1"/>
  <c r="E5" i="1"/>
  <c r="F16" i="1" s="1"/>
  <c r="H27" i="1" l="1"/>
  <c r="H16" i="1"/>
  <c r="H14" i="1"/>
  <c r="H21" i="1"/>
  <c r="H28" i="1"/>
  <c r="F22" i="1"/>
  <c r="H22" i="1" s="1"/>
  <c r="G16" i="1"/>
  <c r="G20" i="1"/>
  <c r="F23" i="1"/>
  <c r="G15" i="1"/>
  <c r="H15" i="1" s="1"/>
  <c r="G19" i="1"/>
  <c r="H19" i="1" s="1"/>
  <c r="G23" i="1"/>
  <c r="G27" i="1"/>
  <c r="F26" i="1"/>
  <c r="H26" i="1" s="1"/>
  <c r="G14" i="1"/>
  <c r="F21" i="1"/>
  <c r="F25" i="1"/>
  <c r="H25" i="1" s="1"/>
  <c r="G21" i="1"/>
  <c r="G25" i="1"/>
  <c r="G17" i="1"/>
  <c r="H17" i="1" s="1"/>
  <c r="F20" i="1"/>
  <c r="H20" i="1" s="1"/>
  <c r="H23" i="1" l="1"/>
</calcChain>
</file>

<file path=xl/sharedStrings.xml><?xml version="1.0" encoding="utf-8"?>
<sst xmlns="http://schemas.openxmlformats.org/spreadsheetml/2006/main" count="71" uniqueCount="25">
  <si>
    <t>2차원 벡터 내적 및 코사인 유사도 계산</t>
  </si>
  <si>
    <t>1. 점(벡터) 좌표 및 크기 데이터</t>
  </si>
  <si>
    <t>점 이름</t>
  </si>
  <si>
    <t>사분면</t>
  </si>
  <si>
    <t>X 좌표</t>
  </si>
  <si>
    <t>Y 좌표</t>
  </si>
  <si>
    <t>벡터 크기 (Norm)</t>
  </si>
  <si>
    <t>A</t>
  </si>
  <si>
    <t>2사분면</t>
  </si>
  <si>
    <t>B</t>
  </si>
  <si>
    <t>C</t>
  </si>
  <si>
    <t>D</t>
  </si>
  <si>
    <t>E</t>
  </si>
  <si>
    <t>4사분면</t>
  </si>
  <si>
    <t>F</t>
  </si>
  <si>
    <t>2. 모든 점 쌍 간의 내적 및 코사인 유사도 계산</t>
  </si>
  <si>
    <t>벡터 1</t>
  </si>
  <si>
    <t>벡터 2</t>
  </si>
  <si>
    <t>V1 좌표</t>
  </si>
  <si>
    <t>V2 좌표</t>
  </si>
  <si>
    <t>내적 (Dot Product)</t>
  </si>
  <si>
    <t>V1 Norm</t>
  </si>
  <si>
    <t>V2 Norm</t>
  </si>
  <si>
    <t>코사인 유사도 
(Cosine Similarity)</t>
    <phoneticPr fontId="4" type="noConversion"/>
  </si>
  <si>
    <t>Clustering(Unsupervised learning)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</si>
</sst>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#,##0.0000"/>
    <numFmt numFmtId="179" formatCode="_-* #,##0.000_-;\-* #,##0.000_-;_-* &quot;-&quot;_-;_-@_-"/>
  </numFmts>
  <fonts count="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sz val="11"/>
      <color theme="1"/>
      <name val="D2Coding"/>
      <family val="3"/>
      <charset val="129"/>
    </font>
    <font>
      <sz val="11"/>
      <name val="D2Coding"/>
      <family val="3"/>
      <charset val="129"/>
    </font>
    <font>
      <sz val="8"/>
      <name val="맑은 고딕"/>
      <family val="3"/>
      <charset val="129"/>
      <scheme val="minor"/>
    </font>
    <font>
      <sz val="11"/>
      <color rgb="FF1F4E78"/>
      <name val="D2Coding"/>
      <family val="3"/>
      <charset val="129"/>
    </font>
    <font>
      <sz val="11"/>
      <color rgb="FFFFFFFF"/>
      <name val="D2Coding"/>
      <family val="3"/>
      <charset val="129"/>
    </font>
    <font>
      <b/>
      <sz val="12"/>
      <color theme="1"/>
      <name val="D2Coding"/>
      <family val="3"/>
      <charset val="129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2F2F2"/>
        <bgColor rgb="FFF2F2F2"/>
      </patternFill>
    </fill>
    <fill>
      <patternFill patternType="solid">
        <fgColor rgb="FF2F5597"/>
        <bgColor rgb="FF2F5597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>
      <alignment vertical="center"/>
    </xf>
  </cellStyleXfs>
  <cellXfs count="17">
    <xf numFmtId="0" fontId="0" fillId="0" borderId="0" xfId="0"/>
    <xf numFmtId="0" fontId="2" fillId="0" borderId="0" xfId="0" applyFont="1"/>
    <xf numFmtId="0" fontId="3" fillId="3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right"/>
    </xf>
    <xf numFmtId="176" fontId="3" fillId="3" borderId="1" xfId="0" applyNumberFormat="1" applyFont="1" applyFill="1" applyBorder="1" applyAlignment="1">
      <alignment horizontal="right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right"/>
    </xf>
    <xf numFmtId="176" fontId="3" fillId="0" borderId="1" xfId="0" applyNumberFormat="1" applyFont="1" applyBorder="1" applyAlignment="1">
      <alignment horizontal="right"/>
    </xf>
    <xf numFmtId="3" fontId="3" fillId="0" borderId="1" xfId="0" applyNumberFormat="1" applyFont="1" applyBorder="1" applyAlignment="1">
      <alignment horizontal="right"/>
    </xf>
    <xf numFmtId="3" fontId="3" fillId="3" borderId="1" xfId="0" applyNumberFormat="1" applyFont="1" applyFill="1" applyBorder="1" applyAlignment="1">
      <alignment horizontal="right"/>
    </xf>
    <xf numFmtId="0" fontId="5" fillId="0" borderId="0" xfId="0" applyFont="1"/>
    <xf numFmtId="0" fontId="6" fillId="2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0" xfId="0" applyFont="1" applyFill="1" applyAlignment="1">
      <alignment horizontal="center" vertical="center" wrapText="1"/>
    </xf>
    <xf numFmtId="3" fontId="2" fillId="0" borderId="0" xfId="0" applyNumberFormat="1" applyFont="1"/>
    <xf numFmtId="0" fontId="7" fillId="0" borderId="0" xfId="0" applyFont="1"/>
    <xf numFmtId="179" fontId="2" fillId="0" borderId="0" xfId="1" applyNumberFormat="1" applyFont="1" applyAlignment="1"/>
  </cellXfs>
  <cellStyles count="2">
    <cellStyle name="쉼표 [0]" xfId="1" builtinId="6"/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'내적 및 코사인 유사도'!$D$4</c:f>
              <c:strCache>
                <c:ptCount val="1"/>
                <c:pt idx="0">
                  <c:v>Y 좌표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'내적 및 코사인 유사도'!$C$5:$C$10</c:f>
              <c:numCache>
                <c:formatCode>General</c:formatCode>
                <c:ptCount val="6"/>
                <c:pt idx="0">
                  <c:v>-4</c:v>
                </c:pt>
                <c:pt idx="1">
                  <c:v>-2</c:v>
                </c:pt>
                <c:pt idx="2">
                  <c:v>-5</c:v>
                </c:pt>
                <c:pt idx="3">
                  <c:v>3</c:v>
                </c:pt>
                <c:pt idx="4">
                  <c:v>5</c:v>
                </c:pt>
                <c:pt idx="5">
                  <c:v>2</c:v>
                </c:pt>
              </c:numCache>
            </c:numRef>
          </c:xVal>
          <c:yVal>
            <c:numRef>
              <c:f>'내적 및 코사인 유사도'!$D$5:$D$10</c:f>
              <c:numCache>
                <c:formatCode>General</c:formatCode>
                <c:ptCount val="6"/>
                <c:pt idx="0">
                  <c:v>5</c:v>
                </c:pt>
                <c:pt idx="1">
                  <c:v>3</c:v>
                </c:pt>
                <c:pt idx="2">
                  <c:v>1</c:v>
                </c:pt>
                <c:pt idx="3">
                  <c:v>-4</c:v>
                </c:pt>
                <c:pt idx="4">
                  <c:v>-2</c:v>
                </c:pt>
                <c:pt idx="5">
                  <c:v>-5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97D-40C7-BDA5-10065C094E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25103535"/>
        <c:axId val="1425104495"/>
      </c:scatterChart>
      <c:valAx>
        <c:axId val="14251035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5104495"/>
        <c:crosses val="autoZero"/>
        <c:crossBetween val="midCat"/>
      </c:valAx>
      <c:valAx>
        <c:axId val="14251044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251035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179070</xdr:colOff>
      <xdr:row>2</xdr:row>
      <xdr:rowOff>140970</xdr:rowOff>
    </xdr:from>
    <xdr:to>
      <xdr:col>17</xdr:col>
      <xdr:colOff>236220</xdr:colOff>
      <xdr:row>17</xdr:row>
      <xdr:rowOff>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C3FDCDD5-C17F-19A3-A7CD-0D74FAECD74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6"/>
  <sheetViews>
    <sheetView showGridLines="0" tabSelected="1" topLeftCell="A6" zoomScale="74" workbookViewId="0">
      <selection activeCell="I26" sqref="I26"/>
    </sheetView>
  </sheetViews>
  <sheetFormatPr defaultRowHeight="14.4" x14ac:dyDescent="0.3"/>
  <cols>
    <col min="1" max="1" width="10.59765625" style="1" customWidth="1"/>
    <col min="2" max="4" width="8.3984375" style="1" bestFit="1" customWidth="1"/>
    <col min="5" max="5" width="20.19921875" style="1" bestFit="1" customWidth="1"/>
    <col min="6" max="7" width="8.3984375" style="1" bestFit="1" customWidth="1"/>
    <col min="8" max="8" width="21.296875" style="1" bestFit="1" customWidth="1"/>
    <col min="9" max="9" width="8.796875" style="1"/>
    <col min="10" max="11" width="5.09765625" style="1" customWidth="1"/>
    <col min="12" max="17" width="8.5" style="1" customWidth="1"/>
    <col min="18" max="16384" width="8.796875" style="1"/>
  </cols>
  <sheetData>
    <row r="1" spans="1:8" x14ac:dyDescent="0.3">
      <c r="A1" s="10" t="s">
        <v>0</v>
      </c>
    </row>
    <row r="3" spans="1:8" x14ac:dyDescent="0.3">
      <c r="A3" s="10" t="s">
        <v>1</v>
      </c>
    </row>
    <row r="4" spans="1:8" ht="22.2" customHeight="1" x14ac:dyDescent="0.3">
      <c r="A4" s="11" t="s">
        <v>2</v>
      </c>
      <c r="B4" s="11" t="s">
        <v>3</v>
      </c>
      <c r="C4" s="11" t="s">
        <v>4</v>
      </c>
      <c r="D4" s="11" t="s">
        <v>5</v>
      </c>
      <c r="E4" s="11" t="s">
        <v>6</v>
      </c>
    </row>
    <row r="5" spans="1:8" ht="22.2" customHeight="1" x14ac:dyDescent="0.3">
      <c r="A5" s="2" t="s">
        <v>7</v>
      </c>
      <c r="B5" s="2" t="s">
        <v>8</v>
      </c>
      <c r="C5" s="3">
        <v>-4</v>
      </c>
      <c r="D5" s="3">
        <v>5</v>
      </c>
      <c r="E5" s="4">
        <f t="shared" ref="E5:E10" si="0">SQRT(C5^2 + D5^2)</f>
        <v>6.4031242374328485</v>
      </c>
    </row>
    <row r="6" spans="1:8" ht="22.2" customHeight="1" x14ac:dyDescent="0.3">
      <c r="A6" s="5" t="s">
        <v>9</v>
      </c>
      <c r="B6" s="5" t="s">
        <v>8</v>
      </c>
      <c r="C6" s="6">
        <v>-2</v>
      </c>
      <c r="D6" s="6">
        <v>3</v>
      </c>
      <c r="E6" s="7">
        <f t="shared" si="0"/>
        <v>3.6055512754639891</v>
      </c>
    </row>
    <row r="7" spans="1:8" ht="22.2" customHeight="1" x14ac:dyDescent="0.3">
      <c r="A7" s="2" t="s">
        <v>10</v>
      </c>
      <c r="B7" s="2" t="s">
        <v>8</v>
      </c>
      <c r="C7" s="3">
        <v>-5</v>
      </c>
      <c r="D7" s="3">
        <v>1</v>
      </c>
      <c r="E7" s="4">
        <f t="shared" si="0"/>
        <v>5.0990195135927845</v>
      </c>
    </row>
    <row r="8" spans="1:8" ht="22.2" customHeight="1" x14ac:dyDescent="0.3">
      <c r="A8" s="5" t="s">
        <v>11</v>
      </c>
      <c r="B8" s="5" t="s">
        <v>8</v>
      </c>
      <c r="C8" s="6">
        <v>3</v>
      </c>
      <c r="D8" s="6">
        <v>-4</v>
      </c>
      <c r="E8" s="7">
        <f t="shared" si="0"/>
        <v>5</v>
      </c>
    </row>
    <row r="9" spans="1:8" ht="22.2" customHeight="1" x14ac:dyDescent="0.3">
      <c r="A9" s="2" t="s">
        <v>12</v>
      </c>
      <c r="B9" s="2" t="s">
        <v>13</v>
      </c>
      <c r="C9" s="3">
        <v>5</v>
      </c>
      <c r="D9" s="3">
        <v>-2</v>
      </c>
      <c r="E9" s="4">
        <f t="shared" si="0"/>
        <v>5.3851648071345037</v>
      </c>
    </row>
    <row r="10" spans="1:8" ht="22.2" customHeight="1" x14ac:dyDescent="0.3">
      <c r="A10" s="5" t="s">
        <v>14</v>
      </c>
      <c r="B10" s="5" t="s">
        <v>13</v>
      </c>
      <c r="C10" s="6">
        <v>2</v>
      </c>
      <c r="D10" s="6">
        <v>-5</v>
      </c>
      <c r="E10" s="7">
        <f t="shared" si="0"/>
        <v>5.3851648071345037</v>
      </c>
    </row>
    <row r="12" spans="1:8" x14ac:dyDescent="0.3">
      <c r="A12" s="10" t="s">
        <v>15</v>
      </c>
    </row>
    <row r="13" spans="1:8" ht="28.8" x14ac:dyDescent="0.3">
      <c r="A13" s="12" t="s">
        <v>16</v>
      </c>
      <c r="B13" s="12" t="s">
        <v>17</v>
      </c>
      <c r="C13" s="12" t="s">
        <v>18</v>
      </c>
      <c r="D13" s="12" t="s">
        <v>19</v>
      </c>
      <c r="E13" s="12" t="s">
        <v>20</v>
      </c>
      <c r="F13" s="12" t="s">
        <v>21</v>
      </c>
      <c r="G13" s="12" t="s">
        <v>22</v>
      </c>
      <c r="H13" s="13" t="s">
        <v>23</v>
      </c>
    </row>
    <row r="14" spans="1:8" ht="20.399999999999999" customHeight="1" x14ac:dyDescent="0.3">
      <c r="A14" s="5" t="s">
        <v>7</v>
      </c>
      <c r="B14" s="5" t="s">
        <v>9</v>
      </c>
      <c r="C14" s="5" t="str">
        <f>"("&amp;C5&amp;", "&amp;D5&amp;")"</f>
        <v>(-4, 5)</v>
      </c>
      <c r="D14" s="5" t="str">
        <f>"("&amp;C6&amp;", "&amp;D6&amp;")"</f>
        <v>(-2, 3)</v>
      </c>
      <c r="E14" s="8">
        <f>SUMPRODUCT(C5:D5, C6:D6)</f>
        <v>23</v>
      </c>
      <c r="F14" s="7">
        <f>E5</f>
        <v>6.4031242374328485</v>
      </c>
      <c r="G14" s="7">
        <f>E6</f>
        <v>3.6055512754639891</v>
      </c>
      <c r="H14" s="7">
        <f t="shared" ref="H14:H28" si="1">E14 / (F14 * G14)</f>
        <v>0.99624058819568306</v>
      </c>
    </row>
    <row r="15" spans="1:8" ht="20.399999999999999" customHeight="1" x14ac:dyDescent="0.3">
      <c r="A15" s="2" t="s">
        <v>7</v>
      </c>
      <c r="B15" s="2" t="s">
        <v>10</v>
      </c>
      <c r="C15" s="2" t="str">
        <f>"("&amp;C5&amp;", "&amp;D5&amp;")"</f>
        <v>(-4, 5)</v>
      </c>
      <c r="D15" s="2" t="str">
        <f>"("&amp;C7&amp;", "&amp;D7&amp;")"</f>
        <v>(-5, 1)</v>
      </c>
      <c r="E15" s="9">
        <f>SUMPRODUCT(C5:D5, C7:D7)</f>
        <v>25</v>
      </c>
      <c r="F15" s="4">
        <f>E5</f>
        <v>6.4031242374328485</v>
      </c>
      <c r="G15" s="4">
        <f>E7</f>
        <v>5.0990195135927845</v>
      </c>
      <c r="H15" s="4">
        <f t="shared" si="1"/>
        <v>0.76570486478961119</v>
      </c>
    </row>
    <row r="16" spans="1:8" ht="20.399999999999999" customHeight="1" x14ac:dyDescent="0.3">
      <c r="A16" s="5" t="s">
        <v>7</v>
      </c>
      <c r="B16" s="5" t="s">
        <v>11</v>
      </c>
      <c r="C16" s="5" t="str">
        <f>"("&amp;C5&amp;", "&amp;D5&amp;")"</f>
        <v>(-4, 5)</v>
      </c>
      <c r="D16" s="5" t="str">
        <f>"("&amp;C8&amp;", "&amp;D8&amp;")"</f>
        <v>(3, -4)</v>
      </c>
      <c r="E16" s="8">
        <f>SUMPRODUCT(C5:D5, C8:D8)</f>
        <v>-32</v>
      </c>
      <c r="F16" s="7">
        <f>E5</f>
        <v>6.4031242374328485</v>
      </c>
      <c r="G16" s="7">
        <f>E8</f>
        <v>5</v>
      </c>
      <c r="H16" s="7">
        <f t="shared" si="1"/>
        <v>-0.99951207608707882</v>
      </c>
    </row>
    <row r="17" spans="1:17" ht="20.399999999999999" customHeight="1" x14ac:dyDescent="0.3">
      <c r="A17" s="2" t="s">
        <v>7</v>
      </c>
      <c r="B17" s="2" t="s">
        <v>12</v>
      </c>
      <c r="C17" s="2" t="str">
        <f>"("&amp;C5&amp;", "&amp;D5&amp;")"</f>
        <v>(-4, 5)</v>
      </c>
      <c r="D17" s="2" t="str">
        <f>"("&amp;C9&amp;", "&amp;D9&amp;")"</f>
        <v>(5, -2)</v>
      </c>
      <c r="E17" s="9">
        <f>SUMPRODUCT(C5:D5, C9:D9)</f>
        <v>-30</v>
      </c>
      <c r="F17" s="4">
        <f>E5</f>
        <v>6.4031242374328485</v>
      </c>
      <c r="G17" s="4">
        <f>E9</f>
        <v>5.3851648071345037</v>
      </c>
      <c r="H17" s="4">
        <f t="shared" si="1"/>
        <v>-0.87002218584861235</v>
      </c>
    </row>
    <row r="18" spans="1:17" ht="20.399999999999999" customHeight="1" x14ac:dyDescent="0.3">
      <c r="A18" s="5" t="s">
        <v>7</v>
      </c>
      <c r="B18" s="5" t="s">
        <v>14</v>
      </c>
      <c r="C18" s="5" t="str">
        <f>"("&amp;C5&amp;", "&amp;D5&amp;")"</f>
        <v>(-4, 5)</v>
      </c>
      <c r="D18" s="5" t="str">
        <f>"("&amp;C10&amp;", "&amp;D10&amp;")"</f>
        <v>(2, -5)</v>
      </c>
      <c r="E18" s="8">
        <f>SUMPRODUCT(C5:D5, C10:D10)</f>
        <v>-33</v>
      </c>
      <c r="F18" s="7">
        <f>E5</f>
        <v>6.4031242374328485</v>
      </c>
      <c r="G18" s="7">
        <f>E10</f>
        <v>5.3851648071345037</v>
      </c>
      <c r="H18" s="7">
        <f t="shared" si="1"/>
        <v>-0.95702440443347359</v>
      </c>
    </row>
    <row r="19" spans="1:17" ht="20.399999999999999" customHeight="1" x14ac:dyDescent="0.3">
      <c r="A19" s="2" t="s">
        <v>9</v>
      </c>
      <c r="B19" s="2" t="s">
        <v>10</v>
      </c>
      <c r="C19" s="2" t="str">
        <f>"("&amp;C6&amp;", "&amp;D6&amp;")"</f>
        <v>(-2, 3)</v>
      </c>
      <c r="D19" s="2" t="str">
        <f>"("&amp;C7&amp;", "&amp;D7&amp;")"</f>
        <v>(-5, 1)</v>
      </c>
      <c r="E19" s="9">
        <f>SUMPRODUCT(C6:D6, C7:D7)</f>
        <v>13</v>
      </c>
      <c r="F19" s="4">
        <f>E6</f>
        <v>3.6055512754639891</v>
      </c>
      <c r="G19" s="4">
        <f>E7</f>
        <v>5.0990195135927845</v>
      </c>
      <c r="H19" s="4">
        <f t="shared" si="1"/>
        <v>0.70710678118654757</v>
      </c>
      <c r="K19" s="15" t="s">
        <v>24</v>
      </c>
    </row>
    <row r="20" spans="1:17" ht="20.399999999999999" customHeight="1" x14ac:dyDescent="0.3">
      <c r="A20" s="5" t="s">
        <v>9</v>
      </c>
      <c r="B20" s="5" t="s">
        <v>11</v>
      </c>
      <c r="C20" s="5" t="str">
        <f>"("&amp;C6&amp;", "&amp;D6&amp;")"</f>
        <v>(-2, 3)</v>
      </c>
      <c r="D20" s="5" t="str">
        <f>"("&amp;C8&amp;", "&amp;D8&amp;")"</f>
        <v>(3, -4)</v>
      </c>
      <c r="E20" s="8">
        <f>SUMPRODUCT(C6:D6, C8:D8)</f>
        <v>-18</v>
      </c>
      <c r="F20" s="7">
        <f>E6</f>
        <v>3.6055512754639891</v>
      </c>
      <c r="G20" s="7">
        <f>E8</f>
        <v>5</v>
      </c>
      <c r="H20" s="7">
        <f t="shared" si="1"/>
        <v>-0.99846035320541249</v>
      </c>
    </row>
    <row r="21" spans="1:17" ht="20.399999999999999" customHeight="1" x14ac:dyDescent="0.3">
      <c r="A21" s="2" t="s">
        <v>9</v>
      </c>
      <c r="B21" s="2" t="s">
        <v>12</v>
      </c>
      <c r="C21" s="2" t="str">
        <f>"("&amp;C6&amp;", "&amp;D6&amp;")"</f>
        <v>(-2, 3)</v>
      </c>
      <c r="D21" s="2" t="str">
        <f>"("&amp;C9&amp;", "&amp;D9&amp;")"</f>
        <v>(5, -2)</v>
      </c>
      <c r="E21" s="9">
        <f>SUMPRODUCT(C6:D6, C9:D9)</f>
        <v>-16</v>
      </c>
      <c r="F21" s="4">
        <f>E6</f>
        <v>3.6055512754639891</v>
      </c>
      <c r="G21" s="4">
        <f>E9</f>
        <v>5.3851648071345037</v>
      </c>
      <c r="H21" s="4">
        <f t="shared" si="1"/>
        <v>-0.82404192419936773</v>
      </c>
      <c r="L21" s="2" t="s">
        <v>7</v>
      </c>
      <c r="M21" s="5" t="s">
        <v>9</v>
      </c>
      <c r="N21" s="2" t="s">
        <v>10</v>
      </c>
      <c r="O21" s="5" t="s">
        <v>11</v>
      </c>
      <c r="P21" s="2" t="s">
        <v>12</v>
      </c>
      <c r="Q21" s="5" t="s">
        <v>14</v>
      </c>
    </row>
    <row r="22" spans="1:17" ht="20.399999999999999" customHeight="1" x14ac:dyDescent="0.3">
      <c r="A22" s="5" t="s">
        <v>9</v>
      </c>
      <c r="B22" s="5" t="s">
        <v>14</v>
      </c>
      <c r="C22" s="5" t="str">
        <f>"("&amp;C6&amp;", "&amp;D6&amp;")"</f>
        <v>(-2, 3)</v>
      </c>
      <c r="D22" s="5" t="str">
        <f>"("&amp;C10&amp;", "&amp;D10&amp;")"</f>
        <v>(2, -5)</v>
      </c>
      <c r="E22" s="8">
        <f>SUMPRODUCT(C6:D6, C10:D10)</f>
        <v>-19</v>
      </c>
      <c r="F22" s="7">
        <f>E6</f>
        <v>3.6055512754639891</v>
      </c>
      <c r="G22" s="7">
        <f>E10</f>
        <v>5.3851648071345037</v>
      </c>
      <c r="H22" s="7">
        <f t="shared" si="1"/>
        <v>-0.97854978498674916</v>
      </c>
      <c r="K22" s="2" t="s">
        <v>7</v>
      </c>
      <c r="L22" s="16"/>
      <c r="M22" s="16"/>
      <c r="N22" s="16"/>
      <c r="O22" s="16"/>
      <c r="P22" s="16"/>
      <c r="Q22" s="16"/>
    </row>
    <row r="23" spans="1:17" ht="20.399999999999999" customHeight="1" x14ac:dyDescent="0.3">
      <c r="A23" s="2" t="s">
        <v>10</v>
      </c>
      <c r="B23" s="2" t="s">
        <v>11</v>
      </c>
      <c r="C23" s="2" t="str">
        <f>"("&amp;C7&amp;", "&amp;D7&amp;")"</f>
        <v>(-5, 1)</v>
      </c>
      <c r="D23" s="2" t="str">
        <f>"("&amp;C8&amp;", "&amp;D8&amp;")"</f>
        <v>(3, -4)</v>
      </c>
      <c r="E23" s="9">
        <f>SUMPRODUCT(C7:D7, C8:D8)</f>
        <v>-19</v>
      </c>
      <c r="F23" s="4">
        <f>E7</f>
        <v>5.0990195135927845</v>
      </c>
      <c r="G23" s="4">
        <f>E8</f>
        <v>5</v>
      </c>
      <c r="H23" s="4">
        <f t="shared" si="1"/>
        <v>-0.74524131352509937</v>
      </c>
      <c r="K23" s="5" t="s">
        <v>9</v>
      </c>
      <c r="L23" s="16">
        <f>H14</f>
        <v>0.99624058819568306</v>
      </c>
      <c r="M23" s="16"/>
      <c r="N23" s="16"/>
      <c r="O23" s="16"/>
      <c r="P23" s="16"/>
      <c r="Q23" s="16"/>
    </row>
    <row r="24" spans="1:17" ht="20.399999999999999" customHeight="1" x14ac:dyDescent="0.3">
      <c r="A24" s="5" t="s">
        <v>10</v>
      </c>
      <c r="B24" s="5" t="s">
        <v>12</v>
      </c>
      <c r="C24" s="5" t="str">
        <f>"("&amp;C7&amp;", "&amp;D7&amp;")"</f>
        <v>(-5, 1)</v>
      </c>
      <c r="D24" s="5" t="str">
        <f>"("&amp;C9&amp;", "&amp;D9&amp;")"</f>
        <v>(5, -2)</v>
      </c>
      <c r="E24" s="8">
        <f>SUMPRODUCT(C7:D7, C9:D9)</f>
        <v>-27</v>
      </c>
      <c r="F24" s="7">
        <f>E7</f>
        <v>5.0990195135927845</v>
      </c>
      <c r="G24" s="7">
        <f>E9</f>
        <v>5.3851648071345037</v>
      </c>
      <c r="H24" s="7">
        <f t="shared" si="1"/>
        <v>-0.98328200498446028</v>
      </c>
      <c r="K24" s="2" t="s">
        <v>10</v>
      </c>
      <c r="L24" s="16">
        <f t="shared" ref="L24:L27" si="2">H15</f>
        <v>0.76570486478961119</v>
      </c>
      <c r="M24" s="16">
        <f>H19</f>
        <v>0.70710678118654757</v>
      </c>
      <c r="N24" s="16"/>
      <c r="O24" s="16"/>
      <c r="P24" s="16"/>
      <c r="Q24" s="16"/>
    </row>
    <row r="25" spans="1:17" ht="20.399999999999999" customHeight="1" x14ac:dyDescent="0.3">
      <c r="A25" s="2" t="s">
        <v>10</v>
      </c>
      <c r="B25" s="2" t="s">
        <v>14</v>
      </c>
      <c r="C25" s="2" t="str">
        <f>"("&amp;C7&amp;", "&amp;D7&amp;")"</f>
        <v>(-5, 1)</v>
      </c>
      <c r="D25" s="2" t="str">
        <f>"("&amp;C10&amp;", "&amp;D10&amp;")"</f>
        <v>(2, -5)</v>
      </c>
      <c r="E25" s="9">
        <f>SUMPRODUCT(C7:D7, C10:D10)</f>
        <v>-15</v>
      </c>
      <c r="F25" s="4">
        <f>E7</f>
        <v>5.0990195135927845</v>
      </c>
      <c r="G25" s="4">
        <f>E10</f>
        <v>5.3851648071345037</v>
      </c>
      <c r="H25" s="4">
        <f t="shared" si="1"/>
        <v>-0.54626778054692238</v>
      </c>
      <c r="K25" s="5" t="s">
        <v>11</v>
      </c>
      <c r="L25" s="16">
        <f t="shared" si="2"/>
        <v>-0.99951207608707882</v>
      </c>
      <c r="M25" s="16">
        <f t="shared" ref="M25:M27" si="3">H20</f>
        <v>-0.99846035320541249</v>
      </c>
      <c r="N25" s="16">
        <f>H23</f>
        <v>-0.74524131352509937</v>
      </c>
      <c r="O25" s="16"/>
      <c r="P25" s="16"/>
      <c r="Q25" s="16"/>
    </row>
    <row r="26" spans="1:17" ht="20.399999999999999" customHeight="1" x14ac:dyDescent="0.3">
      <c r="A26" s="5" t="s">
        <v>11</v>
      </c>
      <c r="B26" s="5" t="s">
        <v>12</v>
      </c>
      <c r="C26" s="5" t="str">
        <f>"("&amp;C8&amp;", "&amp;D8&amp;")"</f>
        <v>(3, -4)</v>
      </c>
      <c r="D26" s="5" t="str">
        <f>"("&amp;C9&amp;", "&amp;D9&amp;")"</f>
        <v>(5, -2)</v>
      </c>
      <c r="E26" s="8">
        <f>SUMPRODUCT(C8:D8, C9:D9)</f>
        <v>23</v>
      </c>
      <c r="F26" s="7">
        <f>E8</f>
        <v>5</v>
      </c>
      <c r="G26" s="7">
        <f>E9</f>
        <v>5.3851648071345037</v>
      </c>
      <c r="H26" s="7">
        <f t="shared" si="1"/>
        <v>0.85419855561443858</v>
      </c>
      <c r="K26" s="2" t="s">
        <v>12</v>
      </c>
      <c r="L26" s="16">
        <f t="shared" si="2"/>
        <v>-0.87002218584861235</v>
      </c>
      <c r="M26" s="16">
        <f t="shared" si="3"/>
        <v>-0.82404192419936773</v>
      </c>
      <c r="N26" s="16">
        <f t="shared" ref="N26:N27" si="4">H24</f>
        <v>-0.98328200498446028</v>
      </c>
      <c r="O26" s="16">
        <f>H26</f>
        <v>0.85419855561443858</v>
      </c>
      <c r="P26" s="16"/>
      <c r="Q26" s="16"/>
    </row>
    <row r="27" spans="1:17" ht="20.399999999999999" customHeight="1" x14ac:dyDescent="0.3">
      <c r="A27" s="2" t="s">
        <v>11</v>
      </c>
      <c r="B27" s="2" t="s">
        <v>14</v>
      </c>
      <c r="C27" s="2" t="str">
        <f>"("&amp;C8&amp;", "&amp;D8&amp;")"</f>
        <v>(3, -4)</v>
      </c>
      <c r="D27" s="2" t="str">
        <f>"("&amp;C10&amp;", "&amp;D10&amp;")"</f>
        <v>(2, -5)</v>
      </c>
      <c r="E27" s="9">
        <f>SUMPRODUCT(C8:D8, C10:D10)</f>
        <v>26</v>
      </c>
      <c r="F27" s="4">
        <f>E8</f>
        <v>5</v>
      </c>
      <c r="G27" s="4">
        <f>E10</f>
        <v>5.3851648071345037</v>
      </c>
      <c r="H27" s="4">
        <f t="shared" si="1"/>
        <v>0.96561575852066972</v>
      </c>
      <c r="K27" s="5" t="s">
        <v>14</v>
      </c>
      <c r="L27" s="16">
        <f t="shared" si="2"/>
        <v>-0.95702440443347359</v>
      </c>
      <c r="M27" s="16">
        <f t="shared" si="3"/>
        <v>-0.97854978498674916</v>
      </c>
      <c r="N27" s="16">
        <f t="shared" si="4"/>
        <v>-0.54626778054692238</v>
      </c>
      <c r="O27" s="16">
        <f>H27</f>
        <v>0.96561575852066972</v>
      </c>
      <c r="P27" s="16">
        <f>H28</f>
        <v>0.68965517241379315</v>
      </c>
      <c r="Q27" s="16"/>
    </row>
    <row r="28" spans="1:17" ht="20.399999999999999" customHeight="1" x14ac:dyDescent="0.3">
      <c r="A28" s="5" t="s">
        <v>12</v>
      </c>
      <c r="B28" s="5" t="s">
        <v>14</v>
      </c>
      <c r="C28" s="5" t="str">
        <f>"("&amp;C9&amp;", "&amp;D9&amp;")"</f>
        <v>(5, -2)</v>
      </c>
      <c r="D28" s="5" t="str">
        <f>"("&amp;C10&amp;", "&amp;D10&amp;")"</f>
        <v>(2, -5)</v>
      </c>
      <c r="E28" s="8">
        <f>SUMPRODUCT(C9:D9, C10:D10)</f>
        <v>20</v>
      </c>
      <c r="F28" s="7">
        <f>E9</f>
        <v>5.3851648071345037</v>
      </c>
      <c r="G28" s="7">
        <f>E10</f>
        <v>5.3851648071345037</v>
      </c>
      <c r="H28" s="7">
        <f t="shared" si="1"/>
        <v>0.68965517241379315</v>
      </c>
    </row>
    <row r="30" spans="1:17" ht="19.8" customHeight="1" x14ac:dyDescent="0.3"/>
    <row r="31" spans="1:17" ht="19.8" customHeight="1" x14ac:dyDescent="0.3"/>
    <row r="32" spans="1:17" ht="19.8" customHeight="1" x14ac:dyDescent="0.3"/>
    <row r="33" spans="11:11" ht="19.8" customHeight="1" x14ac:dyDescent="0.3"/>
    <row r="34" spans="11:11" ht="19.8" customHeight="1" x14ac:dyDescent="0.3"/>
    <row r="35" spans="11:11" ht="19.8" customHeight="1" x14ac:dyDescent="0.3"/>
    <row r="36" spans="11:11" x14ac:dyDescent="0.3">
      <c r="K36" s="14"/>
    </row>
  </sheetData>
  <phoneticPr fontId="4" type="noConversion"/>
  <conditionalFormatting sqref="E14:E28">
    <cfRule type="colorScale" priority="3">
      <colorScale>
        <cfvo type="min"/>
        <cfvo type="max"/>
        <color rgb="FFFCFCFF"/>
        <color rgb="FFF8696B"/>
      </colorScale>
    </cfRule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4:H28">
    <cfRule type="colorScale" priority="2">
      <colorScale>
        <cfvo type="min"/>
        <cfvo type="max"/>
        <color rgb="FFFCFCFF"/>
        <color rgb="FFF8696B"/>
      </colorScale>
    </cfRule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L22:Q27">
    <cfRule type="colorScale" priority="1">
      <colorScale>
        <cfvo type="min"/>
        <cfvo type="max"/>
        <color rgb="FFFCFCFF"/>
        <color rgb="FFF8696B"/>
      </colorScale>
    </cfRule>
  </conditionalFormatting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내적 및 코사인 유사도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Sanggoo Cho</cp:lastModifiedBy>
  <dcterms:created xsi:type="dcterms:W3CDTF">2026-10-14T12:17:26Z</dcterms:created>
  <dcterms:modified xsi:type="dcterms:W3CDTF">2026-10-14T12:33:11Z</dcterms:modified>
</cp:coreProperties>
</file>