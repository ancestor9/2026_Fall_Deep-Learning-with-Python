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13_ncr:1_{A2383D28-3597-483D-BA5A-9F7E9E14422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nvolution" sheetId="4" r:id="rId1"/>
    <sheet name="cnn_kernel" sheetId="2" r:id="rId2"/>
    <sheet name="cnn_hole_detector" sheetId="3" r:id="rId3"/>
    <sheet name="1D Convolution filter" sheetId="5" r:id="rId4"/>
  </sheets>
  <calcPr calcId="191029"/>
</workbook>
</file>

<file path=xl/calcChain.xml><?xml version="1.0" encoding="utf-8"?>
<calcChain xmlns="http://schemas.openxmlformats.org/spreadsheetml/2006/main">
  <c r="V4" i="5" l="1"/>
  <c r="V49" i="5"/>
  <c r="V48" i="5"/>
  <c r="V47" i="5"/>
  <c r="V44" i="5"/>
  <c r="V45" i="5"/>
  <c r="V46" i="5"/>
  <c r="V43" i="5"/>
  <c r="V38" i="5"/>
  <c r="V39" i="5"/>
  <c r="V40" i="5"/>
  <c r="V41" i="5"/>
  <c r="V42" i="5"/>
  <c r="V37" i="5"/>
  <c r="S39" i="5"/>
  <c r="Q39" i="5"/>
  <c r="O39" i="5"/>
  <c r="M39" i="5"/>
  <c r="T38" i="5"/>
  <c r="R38" i="5"/>
  <c r="P38" i="5"/>
  <c r="N38" i="5"/>
  <c r="S37" i="5"/>
  <c r="Q37" i="5"/>
  <c r="O37" i="5"/>
  <c r="M37" i="5"/>
  <c r="T22" i="5"/>
  <c r="R22" i="5"/>
  <c r="P22" i="5"/>
  <c r="N22" i="5"/>
  <c r="S21" i="5"/>
  <c r="Q21" i="5"/>
  <c r="O21" i="5"/>
  <c r="M21" i="5"/>
  <c r="S4" i="5"/>
  <c r="Q4" i="5"/>
  <c r="O4" i="5"/>
  <c r="M4" i="5"/>
  <c r="B5" i="5"/>
  <c r="B6" i="5" s="1"/>
  <c r="L16" i="4"/>
  <c r="M16" i="4"/>
  <c r="N16" i="4"/>
  <c r="O16" i="4"/>
  <c r="P16" i="4"/>
  <c r="Q16" i="4"/>
  <c r="L17" i="4"/>
  <c r="M17" i="4"/>
  <c r="N17" i="4"/>
  <c r="O17" i="4"/>
  <c r="P17" i="4"/>
  <c r="Q17" i="4"/>
  <c r="L18" i="4"/>
  <c r="M18" i="4"/>
  <c r="N18" i="4"/>
  <c r="O18" i="4"/>
  <c r="P18" i="4"/>
  <c r="Q18" i="4"/>
  <c r="L19" i="4"/>
  <c r="M19" i="4"/>
  <c r="N19" i="4"/>
  <c r="O19" i="4"/>
  <c r="P19" i="4"/>
  <c r="Q19" i="4"/>
  <c r="L20" i="4"/>
  <c r="M20" i="4"/>
  <c r="N20" i="4"/>
  <c r="O20" i="4"/>
  <c r="P20" i="4"/>
  <c r="Q20" i="4"/>
  <c r="M15" i="4"/>
  <c r="N15" i="4"/>
  <c r="O15" i="4"/>
  <c r="P15" i="4"/>
  <c r="Q15" i="4"/>
  <c r="L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C15" i="4"/>
  <c r="D15" i="4"/>
  <c r="E15" i="4"/>
  <c r="E21" i="4" s="1"/>
  <c r="F15" i="4"/>
  <c r="G15" i="4"/>
  <c r="B15" i="4"/>
  <c r="G7" i="4"/>
  <c r="F7" i="4"/>
  <c r="E7" i="4"/>
  <c r="D7" i="4"/>
  <c r="C7" i="4"/>
  <c r="B7" i="4"/>
  <c r="C4" i="4"/>
  <c r="D4" i="4"/>
  <c r="E4" i="4"/>
  <c r="F4" i="4"/>
  <c r="G4" i="4"/>
  <c r="B4" i="4"/>
  <c r="O26" i="3"/>
  <c r="N26" i="3"/>
  <c r="M26" i="3"/>
  <c r="O25" i="3"/>
  <c r="N25" i="3"/>
  <c r="M25" i="3"/>
  <c r="O24" i="3"/>
  <c r="N24" i="3"/>
  <c r="M24" i="3"/>
  <c r="O23" i="3"/>
  <c r="N23" i="3"/>
  <c r="M23" i="3"/>
  <c r="O22" i="3"/>
  <c r="N22" i="3"/>
  <c r="M22" i="3"/>
  <c r="O9" i="3"/>
  <c r="N9" i="3"/>
  <c r="M9" i="3"/>
  <c r="O8" i="3"/>
  <c r="N8" i="3"/>
  <c r="M8" i="3"/>
  <c r="O7" i="3"/>
  <c r="N7" i="3"/>
  <c r="M7" i="3"/>
  <c r="O6" i="3"/>
  <c r="N6" i="3"/>
  <c r="M6" i="3"/>
  <c r="O5" i="3"/>
  <c r="N5" i="3"/>
  <c r="M5" i="3"/>
  <c r="B2" i="2"/>
  <c r="B3" i="2" s="1"/>
  <c r="B4" i="2" s="1"/>
  <c r="B7" i="5" l="1"/>
  <c r="C5" i="5"/>
  <c r="H20" i="4"/>
  <c r="B21" i="4"/>
  <c r="G21" i="4"/>
  <c r="F21" i="4"/>
  <c r="C26" i="4"/>
  <c r="C27" i="4" s="1"/>
  <c r="D21" i="4"/>
  <c r="C21" i="4"/>
  <c r="H18" i="4"/>
  <c r="H4" i="4"/>
  <c r="H16" i="4"/>
  <c r="H7" i="4"/>
  <c r="H21" i="4"/>
  <c r="H19" i="4"/>
  <c r="H17" i="4"/>
  <c r="B26" i="4"/>
  <c r="B27" i="4" s="1"/>
  <c r="L26" i="4"/>
  <c r="L27" i="4" s="1"/>
  <c r="K26" i="4"/>
  <c r="K27" i="4" s="1"/>
  <c r="J26" i="4"/>
  <c r="J27" i="4" s="1"/>
  <c r="I26" i="4"/>
  <c r="I27" i="4" s="1"/>
  <c r="H26" i="4"/>
  <c r="H27" i="4" s="1"/>
  <c r="G26" i="4"/>
  <c r="G27" i="4" s="1"/>
  <c r="H15" i="4"/>
  <c r="F26" i="4"/>
  <c r="F27" i="4" s="1"/>
  <c r="E26" i="4"/>
  <c r="E27" i="4" s="1"/>
  <c r="D26" i="4"/>
  <c r="D27" i="4" s="1"/>
  <c r="B5" i="2"/>
  <c r="C2" i="2"/>
  <c r="D5" i="5" l="1"/>
  <c r="C6" i="5"/>
  <c r="B8" i="5"/>
  <c r="B6" i="2"/>
  <c r="D2" i="2"/>
  <c r="C3" i="2"/>
  <c r="B9" i="5" l="1"/>
  <c r="C7" i="5"/>
  <c r="D6" i="5"/>
  <c r="E5" i="5"/>
  <c r="E2" i="2"/>
  <c r="D3" i="2"/>
  <c r="B7" i="2"/>
  <c r="C4" i="2"/>
  <c r="C8" i="5" l="1"/>
  <c r="F5" i="5"/>
  <c r="E6" i="5"/>
  <c r="D7" i="5"/>
  <c r="B10" i="5"/>
  <c r="B8" i="2"/>
  <c r="D4" i="2"/>
  <c r="C5" i="2"/>
  <c r="F2" i="2"/>
  <c r="E3" i="2"/>
  <c r="D8" i="5" l="1"/>
  <c r="E7" i="5"/>
  <c r="G5" i="5"/>
  <c r="F6" i="5"/>
  <c r="B11" i="5"/>
  <c r="C9" i="5"/>
  <c r="D5" i="2"/>
  <c r="T3" i="2"/>
  <c r="G2" i="2"/>
  <c r="F3" i="2"/>
  <c r="E4" i="2"/>
  <c r="U2" i="2"/>
  <c r="T2" i="2"/>
  <c r="B9" i="2"/>
  <c r="C6" i="2"/>
  <c r="E8" i="5" l="1"/>
  <c r="D9" i="5"/>
  <c r="H5" i="5"/>
  <c r="G6" i="5"/>
  <c r="F7" i="5"/>
  <c r="C10" i="5"/>
  <c r="B12" i="5"/>
  <c r="C7" i="2"/>
  <c r="G3" i="2"/>
  <c r="H2" i="2"/>
  <c r="B10" i="2"/>
  <c r="E5" i="2"/>
  <c r="F4" i="2"/>
  <c r="D6" i="2"/>
  <c r="I5" i="5" l="1"/>
  <c r="H6" i="5"/>
  <c r="D10" i="5"/>
  <c r="F8" i="5"/>
  <c r="B13" i="5"/>
  <c r="G7" i="5"/>
  <c r="E9" i="5"/>
  <c r="C11" i="5"/>
  <c r="E6" i="2"/>
  <c r="U4" i="2" s="1"/>
  <c r="U3" i="2"/>
  <c r="F5" i="2"/>
  <c r="V3" i="2" s="1"/>
  <c r="V2" i="2"/>
  <c r="G4" i="2"/>
  <c r="D7" i="2"/>
  <c r="T5" i="2" s="1"/>
  <c r="T4" i="2"/>
  <c r="W2" i="2"/>
  <c r="C8" i="2"/>
  <c r="B11" i="2"/>
  <c r="I2" i="2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X2" i="2"/>
  <c r="B14" i="5" l="1"/>
  <c r="G8" i="5"/>
  <c r="F9" i="5"/>
  <c r="C12" i="5"/>
  <c r="I6" i="5"/>
  <c r="V21" i="5" s="1"/>
  <c r="D11" i="5"/>
  <c r="E10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D8" i="2"/>
  <c r="I3" i="2"/>
  <c r="E7" i="2"/>
  <c r="F6" i="2"/>
  <c r="B12" i="2"/>
  <c r="C9" i="2"/>
  <c r="G5" i="2"/>
  <c r="C13" i="5" l="1"/>
  <c r="E11" i="5"/>
  <c r="F10" i="5"/>
  <c r="G9" i="5"/>
  <c r="D12" i="5"/>
  <c r="I7" i="5"/>
  <c r="V5" i="5"/>
  <c r="B15" i="5"/>
  <c r="C10" i="2"/>
  <c r="F7" i="2"/>
  <c r="V4" i="2"/>
  <c r="I4" i="2"/>
  <c r="G6" i="2"/>
  <c r="W3" i="2"/>
  <c r="D9" i="2"/>
  <c r="T7" i="2"/>
  <c r="T6" i="2"/>
  <c r="E8" i="2"/>
  <c r="U6" i="2"/>
  <c r="U5" i="2"/>
  <c r="B13" i="2"/>
  <c r="X3" i="2"/>
  <c r="G10" i="5" l="1"/>
  <c r="F11" i="5"/>
  <c r="B16" i="5"/>
  <c r="I8" i="5"/>
  <c r="V6" i="5"/>
  <c r="V22" i="5"/>
  <c r="C14" i="5"/>
  <c r="E12" i="5"/>
  <c r="D13" i="5"/>
  <c r="F8" i="2"/>
  <c r="V5" i="2"/>
  <c r="E9" i="2"/>
  <c r="G7" i="2"/>
  <c r="W5" i="2"/>
  <c r="X5" i="2"/>
  <c r="W4" i="2"/>
  <c r="X4" i="2"/>
  <c r="D10" i="2"/>
  <c r="T8" i="2"/>
  <c r="I5" i="2"/>
  <c r="Y2" i="2"/>
  <c r="C11" i="2"/>
  <c r="B14" i="2"/>
  <c r="I9" i="5" l="1"/>
  <c r="V23" i="5"/>
  <c r="V7" i="5"/>
  <c r="F12" i="5"/>
  <c r="B17" i="5"/>
  <c r="E13" i="5"/>
  <c r="C15" i="5"/>
  <c r="D14" i="5"/>
  <c r="G11" i="5"/>
  <c r="I6" i="2"/>
  <c r="Y4" i="2" s="1"/>
  <c r="Y3" i="2"/>
  <c r="B15" i="2"/>
  <c r="U7" i="2"/>
  <c r="G8" i="2"/>
  <c r="F9" i="2"/>
  <c r="V6" i="2"/>
  <c r="C12" i="2"/>
  <c r="D11" i="2"/>
  <c r="E10" i="2"/>
  <c r="U8" i="2"/>
  <c r="T9" i="2"/>
  <c r="D15" i="5" l="1"/>
  <c r="B18" i="5"/>
  <c r="I10" i="5"/>
  <c r="V8" i="5"/>
  <c r="V25" i="5"/>
  <c r="V24" i="5"/>
  <c r="F13" i="5"/>
  <c r="C16" i="5"/>
  <c r="G12" i="5"/>
  <c r="E14" i="5"/>
  <c r="G9" i="2"/>
  <c r="X7" i="2" s="1"/>
  <c r="X6" i="2"/>
  <c r="E11" i="2"/>
  <c r="C13" i="2"/>
  <c r="B16" i="2"/>
  <c r="I7" i="2"/>
  <c r="F10" i="2"/>
  <c r="V8" i="2" s="1"/>
  <c r="V7" i="2"/>
  <c r="D12" i="2"/>
  <c r="W6" i="2"/>
  <c r="D16" i="5" l="1"/>
  <c r="B19" i="5"/>
  <c r="E15" i="5"/>
  <c r="I11" i="5"/>
  <c r="V9" i="5"/>
  <c r="V26" i="5"/>
  <c r="G13" i="5"/>
  <c r="C17" i="5"/>
  <c r="F14" i="5"/>
  <c r="G10" i="2"/>
  <c r="X8" i="2" s="1"/>
  <c r="C14" i="2"/>
  <c r="E12" i="2"/>
  <c r="U9" i="2"/>
  <c r="U10" i="2"/>
  <c r="I8" i="2"/>
  <c r="Y6" i="2" s="1"/>
  <c r="Y5" i="2"/>
  <c r="F11" i="2"/>
  <c r="D13" i="2"/>
  <c r="T10" i="2"/>
  <c r="T11" i="2"/>
  <c r="W7" i="2"/>
  <c r="E16" i="5" l="1"/>
  <c r="C18" i="5"/>
  <c r="G14" i="5"/>
  <c r="F15" i="5"/>
  <c r="D17" i="5"/>
  <c r="I12" i="5"/>
  <c r="V10" i="5"/>
  <c r="C15" i="2"/>
  <c r="I9" i="2"/>
  <c r="E13" i="2"/>
  <c r="U11" i="2" s="1"/>
  <c r="G11" i="2"/>
  <c r="W8" i="2"/>
  <c r="W9" i="2"/>
  <c r="D14" i="2"/>
  <c r="T12" i="2"/>
  <c r="F12" i="2"/>
  <c r="V9" i="2"/>
  <c r="I13" i="5" l="1"/>
  <c r="V27" i="5"/>
  <c r="V11" i="5"/>
  <c r="D18" i="5"/>
  <c r="C19" i="5"/>
  <c r="F16" i="5"/>
  <c r="E17" i="5"/>
  <c r="G15" i="5"/>
  <c r="E14" i="2"/>
  <c r="C16" i="2"/>
  <c r="I10" i="2"/>
  <c r="Y7" i="2"/>
  <c r="D15" i="2"/>
  <c r="D16" i="2" s="1"/>
  <c r="Y8" i="2"/>
  <c r="F13" i="2"/>
  <c r="V10" i="2"/>
  <c r="G12" i="2"/>
  <c r="X10" i="2" s="1"/>
  <c r="X9" i="2"/>
  <c r="T13" i="2" l="1"/>
  <c r="G16" i="5"/>
  <c r="D19" i="5"/>
  <c r="E18" i="5"/>
  <c r="I14" i="5"/>
  <c r="V28" i="5"/>
  <c r="V12" i="5"/>
  <c r="F17" i="5"/>
  <c r="F14" i="2"/>
  <c r="T14" i="2"/>
  <c r="E15" i="2"/>
  <c r="U12" i="2"/>
  <c r="I11" i="2"/>
  <c r="G13" i="2"/>
  <c r="W10" i="2"/>
  <c r="V11" i="2"/>
  <c r="I15" i="5" l="1"/>
  <c r="V29" i="5"/>
  <c r="V13" i="5"/>
  <c r="F18" i="5"/>
  <c r="E19" i="5"/>
  <c r="G17" i="5"/>
  <c r="E16" i="2"/>
  <c r="U13" i="2"/>
  <c r="U14" i="2"/>
  <c r="I12" i="2"/>
  <c r="Y9" i="2"/>
  <c r="G14" i="2"/>
  <c r="X11" i="2"/>
  <c r="X12" i="2"/>
  <c r="W11" i="2"/>
  <c r="F15" i="2"/>
  <c r="V13" i="2" s="1"/>
  <c r="V12" i="2"/>
  <c r="F19" i="5" l="1"/>
  <c r="G18" i="5"/>
  <c r="I16" i="5"/>
  <c r="V30" i="5"/>
  <c r="V14" i="5"/>
  <c r="I13" i="2"/>
  <c r="G15" i="2"/>
  <c r="G16" i="2" s="1"/>
  <c r="W12" i="2"/>
  <c r="X13" i="2"/>
  <c r="F16" i="2"/>
  <c r="V14" i="2" s="1"/>
  <c r="W13" i="2"/>
  <c r="Y10" i="2"/>
  <c r="G19" i="5" l="1"/>
  <c r="I17" i="5"/>
  <c r="V32" i="5" s="1"/>
  <c r="V15" i="5"/>
  <c r="V31" i="5"/>
  <c r="W14" i="2"/>
  <c r="I14" i="2"/>
  <c r="Y11" i="2"/>
  <c r="X14" i="2"/>
  <c r="I18" i="5" l="1"/>
  <c r="V33" i="5" s="1"/>
  <c r="V16" i="5"/>
  <c r="I15" i="2"/>
  <c r="Y12" i="2"/>
  <c r="I19" i="5" l="1"/>
  <c r="V17" i="5"/>
  <c r="I16" i="2"/>
  <c r="Y13" i="2"/>
  <c r="V18" i="5" l="1"/>
  <c r="V34" i="5"/>
  <c r="Y14" i="2"/>
</calcChain>
</file>

<file path=xl/sharedStrings.xml><?xml version="1.0" encoding="utf-8"?>
<sst xmlns="http://schemas.openxmlformats.org/spreadsheetml/2006/main" count="99" uniqueCount="66">
  <si>
    <t>1D</t>
    <phoneticPr fontId="3" type="noConversion"/>
  </si>
  <si>
    <t xml:space="preserve">  CNN 합성곱(Convolution) &amp; 구멍 감지(Hole Detector) 시뮬레이터</t>
  </si>
  <si>
    <t>■ 1. 입력 이미지 (숫자 '6' 데이터)</t>
  </si>
  <si>
    <t>■ 2. 구멍 감지 필터 (Kernel)</t>
  </si>
  <si>
    <t>■ 3. 활성화 함수 (ReLU)</t>
  </si>
  <si>
    <t>■ 4. 출력 특성 맵 (Feature Map)</t>
  </si>
  <si>
    <t>공식: f(x) = MAX(0, x)</t>
  </si>
  <si>
    <t>설명: 합성곱 연산 결과가</t>
  </si>
  <si>
    <t>음수이면 0, 양수이면</t>
  </si>
  <si>
    <t>그대로 통과시킵니다.</t>
  </si>
  <si>
    <t>💡 이미지 속 초록색 선과 하늘색(Cyan) 칸의 의미
1. 가운데 노란색 필터는 테두리가 1이고 중심이 -10인 '구멍 감지 필터(Hole Detector)'입니다.
2. 입력 이미지에서 숫자 '6'의 아랫부분(초록색 동그라미 영역)을 보면 주변은 1(흰색)인데 중심만 0(검은색 빈공간)인 완벽한 구멍 구조를 가집니다.
3. 이 필터가 해당 구멍 영역을 지나갈 때 필터의 특성과 정확히 일치하여 가장 높은 결과값(8)을 출력하게 됩니다.
4. 오른쪽 특성 맵에서 하늘색(Cyan)으로 채워진 칸이 바로 필터가 구멍을 성공적으로 감지해내어 강한 신호를 발생시킨 지점입니다.</t>
  </si>
  <si>
    <t>■ 1. 입력 이미지 (숫자 '9' 데이터)</t>
    <phoneticPr fontId="3" type="noConversion"/>
  </si>
  <si>
    <t>X</t>
    <phoneticPr fontId="3" type="noConversion"/>
  </si>
  <si>
    <t>Y</t>
    <phoneticPr fontId="3" type="noConversion"/>
  </si>
  <si>
    <t>P(X)</t>
    <phoneticPr fontId="3" type="noConversion"/>
  </si>
  <si>
    <t>P(Y)</t>
    <phoneticPr fontId="3" type="noConversion"/>
  </si>
  <si>
    <t xml:space="preserve">Total </t>
    <phoneticPr fontId="3" type="noConversion"/>
  </si>
  <si>
    <t>X / Y</t>
    <phoneticPr fontId="3" type="noConversion"/>
  </si>
  <si>
    <t>Marginal distribution</t>
    <phoneticPr fontId="3" type="noConversion"/>
  </si>
  <si>
    <t>Joint Distribution</t>
    <phoneticPr fontId="3" type="noConversion"/>
  </si>
  <si>
    <t>Z = X + Y</t>
    <phoneticPr fontId="3" type="noConversion"/>
  </si>
  <si>
    <t>P(Z)</t>
    <phoneticPr fontId="3" type="noConversion"/>
  </si>
  <si>
    <t>Z</t>
    <phoneticPr fontId="3" type="noConversion"/>
  </si>
  <si>
    <t># of Z</t>
    <phoneticPr fontId="3" type="noConversion"/>
  </si>
  <si>
    <t>Convolution Random Variable Z</t>
    <phoneticPr fontId="3" type="noConversion"/>
  </si>
  <si>
    <t>Frequency of Z = X  +  Y</t>
    <phoneticPr fontId="3" type="noConversion"/>
  </si>
  <si>
    <t>f1</t>
    <phoneticPr fontId="3" type="noConversion"/>
  </si>
  <si>
    <t>f2</t>
  </si>
  <si>
    <t>f3</t>
  </si>
  <si>
    <t>f4</t>
  </si>
  <si>
    <t>f5</t>
  </si>
  <si>
    <t>f6</t>
  </si>
  <si>
    <t>f7</t>
  </si>
  <si>
    <t>f8</t>
  </si>
  <si>
    <t>t+0</t>
    <phoneticPr fontId="3" type="noConversion"/>
  </si>
  <si>
    <t>t+1</t>
  </si>
  <si>
    <t>t+2</t>
  </si>
  <si>
    <t>t+3</t>
  </si>
  <si>
    <t>t+4</t>
  </si>
  <si>
    <t>t+5</t>
  </si>
  <si>
    <t>t+6</t>
  </si>
  <si>
    <t>t+7</t>
  </si>
  <si>
    <t>t+8</t>
  </si>
  <si>
    <t>t+9</t>
  </si>
  <si>
    <t>t+10</t>
  </si>
  <si>
    <t>t+11</t>
  </si>
  <si>
    <t>t+12</t>
  </si>
  <si>
    <t>t+13</t>
  </si>
  <si>
    <t>t+14</t>
  </si>
  <si>
    <t>1</t>
    <phoneticPr fontId="3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</si>
  <si>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</si>
  <si>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</si>
  <si>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</si>
  <si>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</si>
  <si>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</si>
  <si>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</si>
  <si>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</si>
  <si>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</si>
  <si>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</si>
  <si>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</si>
  <si>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</si>
  <si>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</si>
  <si>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</si>
  <si>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</si>
  <si>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r>
      <t xml:space="preserve">P(X, Y) = P(X)*P(Y), </t>
    </r>
    <r>
      <rPr>
        <b/>
        <sz val="9"/>
        <color rgb="FF000000"/>
        <rFont val="맑은 고딕"/>
        <family val="2"/>
        <charset val="129"/>
      </rPr>
      <t>서로 독립</t>
    </r>
    <phoneticPr fontId="3" type="noConversion"/>
  </si>
  <si>
    <t>Mutivariates Timeseries data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</si>
</sst>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_-;\-* #,##0.00_-;_-* &quot;-&quot;_-;_-@_-"/>
    <numFmt numFmtId="177" formatCode="0.000"/>
  </numFmts>
  <fonts count="1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6"/>
      <color rgb="FFFFFFFF"/>
      <name val="Malgun Gothic"/>
      <family val="3"/>
      <charset val="129"/>
    </font>
    <font>
      <b/>
      <sz val="12"/>
      <color rgb="FF203A43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333333"/>
      <name val="Malgun Gothic"/>
      <family val="3"/>
      <charset val="129"/>
    </font>
    <font>
      <i/>
      <sz val="9"/>
      <color rgb="FF666666"/>
      <name val="Malgun Gothic"/>
      <family val="3"/>
      <charset val="129"/>
    </font>
    <font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000000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0F2027"/>
        <bgColor rgb="FF0F2027"/>
      </patternFill>
    </fill>
    <fill>
      <patternFill patternType="solid">
        <fgColor rgb="FF1A1A1A"/>
        <bgColor rgb="FF1A1A1A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F7F6"/>
        <bgColor rgb="FFF4F7F6"/>
      </patternFill>
    </fill>
    <fill>
      <patternFill patternType="solid">
        <fgColor rgb="FF00B0F0"/>
        <bgColor rgb="FFF4F7F6"/>
      </patternFill>
    </fill>
    <fill>
      <patternFill patternType="solid">
        <fgColor theme="0" tint="-4.9989318521683403E-2"/>
        <bgColor rgb="FFF4F7F6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>
      <alignment vertical="center"/>
    </xf>
  </cellStyleXfs>
  <cellXfs count="6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0" xfId="0" applyFont="1"/>
    <xf numFmtId="0" fontId="8" fillId="6" borderId="1" xfId="0" applyFont="1" applyFill="1" applyBorder="1" applyAlignment="1">
      <alignment horizontal="center" vertical="center"/>
    </xf>
    <xf numFmtId="0" fontId="9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2" fillId="0" borderId="0" xfId="0" applyFont="1"/>
    <xf numFmtId="0" fontId="12" fillId="0" borderId="12" xfId="0" applyFont="1" applyBorder="1" applyAlignment="1">
      <alignment horizontal="right"/>
    </xf>
    <xf numFmtId="0" fontId="12" fillId="0" borderId="10" xfId="0" applyFont="1" applyBorder="1"/>
    <xf numFmtId="0" fontId="12" fillId="0" borderId="10" xfId="0" applyFont="1" applyBorder="1" applyAlignment="1">
      <alignment horizontal="right"/>
    </xf>
    <xf numFmtId="0" fontId="12" fillId="0" borderId="11" xfId="0" applyFont="1" applyBorder="1" applyAlignment="1">
      <alignment horizontal="right"/>
    </xf>
    <xf numFmtId="176" fontId="12" fillId="0" borderId="0" xfId="1" applyNumberFormat="1" applyFont="1" applyAlignment="1"/>
    <xf numFmtId="176" fontId="12" fillId="0" borderId="0" xfId="0" applyNumberFormat="1" applyFont="1"/>
    <xf numFmtId="0" fontId="12" fillId="9" borderId="0" xfId="0" applyFont="1" applyFill="1" applyAlignment="1">
      <alignment horizontal="right"/>
    </xf>
    <xf numFmtId="0" fontId="12" fillId="9" borderId="0" xfId="0" applyFont="1" applyFill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77" fontId="12" fillId="0" borderId="13" xfId="0" applyNumberFormat="1" applyFont="1" applyBorder="1"/>
    <xf numFmtId="177" fontId="12" fillId="0" borderId="14" xfId="0" applyNumberFormat="1" applyFont="1" applyBorder="1"/>
    <xf numFmtId="177" fontId="12" fillId="0" borderId="15" xfId="0" applyNumberFormat="1" applyFont="1" applyBorder="1"/>
    <xf numFmtId="2" fontId="12" fillId="0" borderId="0" xfId="0" applyNumberFormat="1" applyFont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  <xf numFmtId="177" fontId="12" fillId="0" borderId="16" xfId="0" applyNumberFormat="1" applyFont="1" applyBorder="1"/>
    <xf numFmtId="177" fontId="12" fillId="0" borderId="0" xfId="0" applyNumberFormat="1" applyFont="1"/>
    <xf numFmtId="177" fontId="12" fillId="0" borderId="17" xfId="0" applyNumberFormat="1" applyFont="1" applyBorder="1"/>
    <xf numFmtId="0" fontId="12" fillId="0" borderId="16" xfId="0" applyFont="1" applyBorder="1"/>
    <xf numFmtId="0" fontId="12" fillId="0" borderId="17" xfId="0" applyFont="1" applyBorder="1"/>
    <xf numFmtId="177" fontId="12" fillId="0" borderId="18" xfId="0" applyNumberFormat="1" applyFont="1" applyBorder="1"/>
    <xf numFmtId="177" fontId="12" fillId="0" borderId="19" xfId="0" applyNumberFormat="1" applyFont="1" applyBorder="1"/>
    <xf numFmtId="177" fontId="12" fillId="0" borderId="20" xfId="0" applyNumberFormat="1" applyFont="1" applyBorder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4" fillId="2" borderId="0" xfId="0" applyFont="1" applyFill="1" applyAlignment="1">
      <alignment horizontal="left" vertical="center"/>
    </xf>
    <xf numFmtId="0" fontId="0" fillId="0" borderId="0" xfId="0"/>
    <xf numFmtId="0" fontId="8" fillId="6" borderId="2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quotePrefix="1" applyFont="1"/>
    <xf numFmtId="2" fontId="1" fillId="0" borderId="13" xfId="0" applyNumberFormat="1" applyFont="1" applyBorder="1"/>
    <xf numFmtId="2" fontId="1" fillId="0" borderId="14" xfId="0" applyNumberFormat="1" applyFont="1" applyBorder="1"/>
    <xf numFmtId="2" fontId="1" fillId="0" borderId="15" xfId="0" applyNumberFormat="1" applyFont="1" applyBorder="1"/>
    <xf numFmtId="2" fontId="1" fillId="0" borderId="16" xfId="0" applyNumberFormat="1" applyFont="1" applyBorder="1"/>
    <xf numFmtId="2" fontId="1" fillId="0" borderId="0" xfId="0" applyNumberFormat="1" applyFont="1" applyBorder="1"/>
    <xf numFmtId="2" fontId="1" fillId="0" borderId="17" xfId="0" applyNumberFormat="1" applyFont="1" applyBorder="1"/>
    <xf numFmtId="2" fontId="1" fillId="0" borderId="18" xfId="0" applyNumberFormat="1" applyFont="1" applyBorder="1"/>
    <xf numFmtId="2" fontId="1" fillId="0" borderId="19" xfId="0" applyNumberFormat="1" applyFont="1" applyBorder="1"/>
    <xf numFmtId="2" fontId="1" fillId="0" borderId="20" xfId="0" applyNumberFormat="1" applyFont="1" applyBorder="1"/>
    <xf numFmtId="2" fontId="1" fillId="0" borderId="21" xfId="0" applyNumberFormat="1" applyFont="1" applyBorder="1"/>
    <xf numFmtId="2" fontId="1" fillId="0" borderId="22" xfId="0" applyNumberFormat="1" applyFont="1" applyBorder="1"/>
    <xf numFmtId="2" fontId="1" fillId="0" borderId="23" xfId="0" applyNumberFormat="1" applyFont="1" applyBorder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119173504912272"/>
          <c:y val="0.13728596442025634"/>
          <c:w val="0.86733289588801399"/>
          <c:h val="0.73111111111111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convolution!$A$27</c:f>
              <c:strCache>
                <c:ptCount val="1"/>
                <c:pt idx="0">
                  <c:v>P(Z)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convolution!$B$25:$L$25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convolution!$B$27:$L$27</c:f>
              <c:numCache>
                <c:formatCode>0.000</c:formatCode>
                <c:ptCount val="11"/>
                <c:pt idx="0">
                  <c:v>2.7777777777777776E-2</c:v>
                </c:pt>
                <c:pt idx="1">
                  <c:v>5.5555555555555552E-2</c:v>
                </c:pt>
                <c:pt idx="2">
                  <c:v>8.3333333333333329E-2</c:v>
                </c:pt>
                <c:pt idx="3">
                  <c:v>0.1111111111111111</c:v>
                </c:pt>
                <c:pt idx="4">
                  <c:v>0.1388888888888889</c:v>
                </c:pt>
                <c:pt idx="5">
                  <c:v>0.16666666666666666</c:v>
                </c:pt>
                <c:pt idx="6">
                  <c:v>0.1388888888888889</c:v>
                </c:pt>
                <c:pt idx="7">
                  <c:v>0.1111111111111111</c:v>
                </c:pt>
                <c:pt idx="8">
                  <c:v>8.3333333333333329E-2</c:v>
                </c:pt>
                <c:pt idx="9">
                  <c:v>5.5555555555555552E-2</c:v>
                </c:pt>
                <c:pt idx="10">
                  <c:v>2.7777777777777776E-2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8-4DE6-BA5E-EF85CA2A0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693135"/>
        <c:axId val="1115688815"/>
      </c:barChart>
      <c:catAx>
        <c:axId val="111569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88815"/>
        <c:crosses val="autoZero"/>
        <c:auto val="1"/>
        <c:lblAlgn val="ctr"/>
        <c:lblOffset val="100"/>
        <c:noMultiLvlLbl val="0"/>
      </c:catAx>
      <c:valAx>
        <c:axId val="11156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9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6627708326662383"/>
          <c:y val="0.27717544353703188"/>
          <c:w val="0.77152770060405829"/>
          <c:h val="0.527907631653055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convolution!$A$4</c:f>
              <c:strCache>
                <c:ptCount val="1"/>
                <c:pt idx="0">
                  <c:v>P(X)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convolution!$B$3:$G$3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convolution!$B$4:$G$4</c:f>
              <c:numCache>
                <c:formatCode>_-* #,##0.00_-;\-* #,##0.00_-;_-* "-"_-;_-@_-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8-4DD9-9DBF-3B40B9234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687855"/>
        <c:axId val="1115680175"/>
      </c:barChart>
      <c:catAx>
        <c:axId val="11156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80175"/>
        <c:crosses val="autoZero"/>
        <c:auto val="1"/>
        <c:lblAlgn val="ctr"/>
        <c:lblOffset val="100"/>
        <c:noMultiLvlLbl val="0"/>
      </c:catAx>
      <c:valAx>
        <c:axId val="11156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8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convolution!$A$7</c:f>
              <c:strCache>
                <c:ptCount val="1"/>
                <c:pt idx="0">
                  <c:v>P(Y)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convolution!$B$6:$G$6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convolution!$B$7:$G$7</c:f>
              <c:numCache>
                <c:formatCode>_-* #,##0.00_-;\-* #,##0.00_-;_-* "-"_-;_-@_-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5-4673-B28D-FA4DCE9E6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690735"/>
        <c:axId val="1115696975"/>
      </c:barChart>
      <c:catAx>
        <c:axId val="111569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96975"/>
        <c:crosses val="autoZero"/>
        <c:auto val="1"/>
        <c:lblAlgn val="ctr"/>
        <c:lblOffset val="100"/>
        <c:noMultiLvlLbl val="0"/>
      </c:catAx>
      <c:valAx>
        <c:axId val="11156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69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69292</xdr:colOff>
      <xdr:row>2</xdr:row>
      <xdr:rowOff>47523</xdr:rowOff>
    </xdr:from>
    <xdr:to>
      <xdr:col>9</xdr:col>
      <xdr:colOff>660593</xdr:colOff>
      <xdr:row>6</xdr:row>
      <xdr:rowOff>183174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E332CF-B197-6285-9792-3DA8C94A2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0984" y="487138"/>
          <a:ext cx="1008936" cy="1014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211718</xdr:colOff>
      <xdr:row>20</xdr:row>
      <xdr:rowOff>205913</xdr:rowOff>
    </xdr:from>
    <xdr:to>
      <xdr:col>18</xdr:col>
      <xdr:colOff>615366</xdr:colOff>
      <xdr:row>31</xdr:row>
      <xdr:rowOff>53849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BE4ECC6-708D-B9BB-374D-38AF57DE7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249116</xdr:colOff>
      <xdr:row>1</xdr:row>
      <xdr:rowOff>124557</xdr:rowOff>
    </xdr:from>
    <xdr:to>
      <xdr:col>15</xdr:col>
      <xdr:colOff>46161</xdr:colOff>
      <xdr:row>8</xdr:row>
      <xdr:rowOff>148343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C183181-BECE-69B7-D318-80D56AB78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146540</xdr:colOff>
      <xdr:row>1</xdr:row>
      <xdr:rowOff>123092</xdr:rowOff>
    </xdr:from>
    <xdr:to>
      <xdr:col>19</xdr:col>
      <xdr:colOff>373673</xdr:colOff>
      <xdr:row>8</xdr:row>
      <xdr:rowOff>168519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E0AD48F-E235-A6CA-B445-6FD64D01C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BAFE-AF6D-4F6C-8747-0E71FF37AA1F}">
  <dimension ref="A2:T27"/>
  <sheetViews>
    <sheetView showGridLines="0" topLeftCell="A2" zoomScale="77" zoomScaleNormal="130" workbookViewId="0">
      <selection activeCell="V18" sqref="V18"/>
    </sheetView>
  </sheetViews>
  <sheetFormatPr defaultColWidth="9.109375" defaultRowHeight="17.25" customHeight="1"/>
  <cols>
    <col min="1" max="1" width="16.33203125" style="25" customWidth="1"/>
    <col min="2" max="7" width="6.44140625" style="15" bestFit="1" customWidth="1"/>
    <col min="8" max="8" width="7.33203125" style="15" bestFit="1" customWidth="1"/>
    <col min="9" max="9" width="6.33203125" style="15" bestFit="1" customWidth="1"/>
    <col min="10" max="10" width="10.6640625" style="15" bestFit="1" customWidth="1"/>
    <col min="11" max="16" width="8.5546875" style="15" customWidth="1"/>
    <col min="17" max="16384" width="9.109375" style="15"/>
  </cols>
  <sheetData>
    <row r="2" spans="1:20" ht="17.25" customHeight="1">
      <c r="A2" s="14" t="s">
        <v>18</v>
      </c>
    </row>
    <row r="3" spans="1:20" ht="17.25" customHeight="1">
      <c r="A3" s="16" t="s">
        <v>12</v>
      </c>
      <c r="B3" s="17">
        <v>1</v>
      </c>
      <c r="C3" s="17">
        <v>2</v>
      </c>
      <c r="D3" s="17">
        <v>3</v>
      </c>
      <c r="E3" s="17">
        <v>4</v>
      </c>
      <c r="F3" s="17">
        <v>5</v>
      </c>
      <c r="G3" s="17">
        <v>6</v>
      </c>
      <c r="H3" s="18" t="s">
        <v>16</v>
      </c>
    </row>
    <row r="4" spans="1:20" ht="17.25" customHeight="1">
      <c r="A4" s="19" t="s">
        <v>14</v>
      </c>
      <c r="B4" s="20">
        <f>1/6</f>
        <v>0.16666666666666666</v>
      </c>
      <c r="C4" s="20">
        <f t="shared" ref="C4:G4" si="0">1/6</f>
        <v>0.16666666666666666</v>
      </c>
      <c r="D4" s="20">
        <f t="shared" si="0"/>
        <v>0.16666666666666666</v>
      </c>
      <c r="E4" s="20">
        <f t="shared" si="0"/>
        <v>0.16666666666666666</v>
      </c>
      <c r="F4" s="20">
        <f t="shared" si="0"/>
        <v>0.16666666666666666</v>
      </c>
      <c r="G4" s="20">
        <f t="shared" si="0"/>
        <v>0.16666666666666666</v>
      </c>
      <c r="H4" s="21">
        <f>SUM(B4:G4)</f>
        <v>0.99999999999999989</v>
      </c>
    </row>
    <row r="5" spans="1:20" ht="17.25" customHeight="1">
      <c r="A5" s="15"/>
    </row>
    <row r="6" spans="1:20" ht="17.25" customHeight="1">
      <c r="A6" s="16" t="s">
        <v>13</v>
      </c>
      <c r="B6" s="17">
        <v>1</v>
      </c>
      <c r="C6" s="17">
        <v>2</v>
      </c>
      <c r="D6" s="17">
        <v>3</v>
      </c>
      <c r="E6" s="17">
        <v>4</v>
      </c>
      <c r="F6" s="17">
        <v>5</v>
      </c>
      <c r="G6" s="17">
        <v>6</v>
      </c>
      <c r="H6" s="18" t="s">
        <v>16</v>
      </c>
    </row>
    <row r="7" spans="1:20" ht="17.25" customHeight="1">
      <c r="A7" s="19" t="s">
        <v>15</v>
      </c>
      <c r="B7" s="20">
        <f>1/6</f>
        <v>0.16666666666666666</v>
      </c>
      <c r="C7" s="20">
        <f t="shared" ref="C7:G7" si="1">1/6</f>
        <v>0.16666666666666666</v>
      </c>
      <c r="D7" s="20">
        <f t="shared" si="1"/>
        <v>0.16666666666666666</v>
      </c>
      <c r="E7" s="20">
        <f t="shared" si="1"/>
        <v>0.16666666666666666</v>
      </c>
      <c r="F7" s="20">
        <f t="shared" si="1"/>
        <v>0.16666666666666666</v>
      </c>
      <c r="G7" s="20">
        <f t="shared" si="1"/>
        <v>0.16666666666666666</v>
      </c>
      <c r="H7" s="21">
        <f>SUM(B7:G7)</f>
        <v>0.99999999999999989</v>
      </c>
    </row>
    <row r="10" spans="1:20" ht="6" customHeight="1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 ht="9" customHeight="1"/>
    <row r="12" spans="1:20" ht="17.25" customHeight="1">
      <c r="A12" s="14" t="s">
        <v>19</v>
      </c>
      <c r="K12" s="24" t="s">
        <v>25</v>
      </c>
    </row>
    <row r="13" spans="1:20" ht="17.25" customHeight="1">
      <c r="A13" s="14" t="s">
        <v>64</v>
      </c>
    </row>
    <row r="14" spans="1:20" ht="17.25" customHeight="1" thickBot="1">
      <c r="A14" s="25" t="s">
        <v>17</v>
      </c>
      <c r="B14" s="15">
        <v>1</v>
      </c>
      <c r="C14" s="15">
        <v>2</v>
      </c>
      <c r="D14" s="15">
        <v>3</v>
      </c>
      <c r="E14" s="15">
        <v>4</v>
      </c>
      <c r="F14" s="15">
        <v>5</v>
      </c>
      <c r="G14" s="15">
        <v>6</v>
      </c>
      <c r="L14" s="15">
        <v>1</v>
      </c>
      <c r="M14" s="15">
        <v>2</v>
      </c>
      <c r="N14" s="15">
        <v>3</v>
      </c>
      <c r="O14" s="15">
        <v>4</v>
      </c>
      <c r="P14" s="15">
        <v>5</v>
      </c>
      <c r="Q14" s="15">
        <v>6</v>
      </c>
    </row>
    <row r="15" spans="1:20" ht="17.25" customHeight="1">
      <c r="A15" s="17">
        <v>1</v>
      </c>
      <c r="B15" s="26">
        <f>1/6^2</f>
        <v>2.7777777777777776E-2</v>
      </c>
      <c r="C15" s="27">
        <f t="shared" ref="C15:G20" si="2">1/6^2</f>
        <v>2.7777777777777776E-2</v>
      </c>
      <c r="D15" s="27">
        <f t="shared" si="2"/>
        <v>2.7777777777777776E-2</v>
      </c>
      <c r="E15" s="27">
        <f t="shared" si="2"/>
        <v>2.7777777777777776E-2</v>
      </c>
      <c r="F15" s="27">
        <f t="shared" si="2"/>
        <v>2.7777777777777776E-2</v>
      </c>
      <c r="G15" s="28">
        <f t="shared" si="2"/>
        <v>2.7777777777777776E-2</v>
      </c>
      <c r="H15" s="29">
        <f>SUM(B15:G15)</f>
        <v>0.16666666666666669</v>
      </c>
      <c r="K15" s="17">
        <v>1</v>
      </c>
      <c r="L15" s="30">
        <f>$K15+L$14</f>
        <v>2</v>
      </c>
      <c r="M15" s="31">
        <f t="shared" ref="M15:Q20" si="3">$K15+M$14</f>
        <v>3</v>
      </c>
      <c r="N15" s="31">
        <f t="shared" si="3"/>
        <v>4</v>
      </c>
      <c r="O15" s="31">
        <f t="shared" si="3"/>
        <v>5</v>
      </c>
      <c r="P15" s="31">
        <f t="shared" si="3"/>
        <v>6</v>
      </c>
      <c r="Q15" s="32">
        <f t="shared" si="3"/>
        <v>7</v>
      </c>
    </row>
    <row r="16" spans="1:20" ht="17.25" customHeight="1">
      <c r="A16" s="17">
        <v>2</v>
      </c>
      <c r="B16" s="33">
        <f t="shared" ref="B16:B20" si="4">1/6^2</f>
        <v>2.7777777777777776E-2</v>
      </c>
      <c r="C16" s="34">
        <f t="shared" si="2"/>
        <v>2.7777777777777776E-2</v>
      </c>
      <c r="D16" s="34">
        <f t="shared" si="2"/>
        <v>2.7777777777777776E-2</v>
      </c>
      <c r="E16" s="34">
        <f t="shared" si="2"/>
        <v>2.7777777777777776E-2</v>
      </c>
      <c r="F16" s="34">
        <f t="shared" si="2"/>
        <v>2.7777777777777776E-2</v>
      </c>
      <c r="G16" s="35">
        <f t="shared" si="2"/>
        <v>2.7777777777777776E-2</v>
      </c>
      <c r="H16" s="29">
        <f t="shared" ref="H16:H20" si="5">SUM(B16:G16)</f>
        <v>0.16666666666666669</v>
      </c>
      <c r="K16" s="17">
        <v>2</v>
      </c>
      <c r="L16" s="36">
        <f t="shared" ref="L16:L20" si="6">$K16+L$14</f>
        <v>3</v>
      </c>
      <c r="M16" s="15">
        <f t="shared" si="3"/>
        <v>4</v>
      </c>
      <c r="N16" s="15">
        <f t="shared" si="3"/>
        <v>5</v>
      </c>
      <c r="O16" s="15">
        <f t="shared" si="3"/>
        <v>6</v>
      </c>
      <c r="P16" s="15">
        <f t="shared" si="3"/>
        <v>7</v>
      </c>
      <c r="Q16" s="37">
        <f t="shared" si="3"/>
        <v>8</v>
      </c>
    </row>
    <row r="17" spans="1:17" ht="17.25" customHeight="1">
      <c r="A17" s="17">
        <v>3</v>
      </c>
      <c r="B17" s="33">
        <f t="shared" si="4"/>
        <v>2.7777777777777776E-2</v>
      </c>
      <c r="C17" s="34">
        <f t="shared" si="2"/>
        <v>2.7777777777777776E-2</v>
      </c>
      <c r="D17" s="34">
        <f t="shared" si="2"/>
        <v>2.7777777777777776E-2</v>
      </c>
      <c r="E17" s="34">
        <f t="shared" si="2"/>
        <v>2.7777777777777776E-2</v>
      </c>
      <c r="F17" s="34">
        <f t="shared" si="2"/>
        <v>2.7777777777777776E-2</v>
      </c>
      <c r="G17" s="35">
        <f t="shared" si="2"/>
        <v>2.7777777777777776E-2</v>
      </c>
      <c r="H17" s="29">
        <f t="shared" si="5"/>
        <v>0.16666666666666669</v>
      </c>
      <c r="K17" s="17">
        <v>3</v>
      </c>
      <c r="L17" s="36">
        <f t="shared" si="6"/>
        <v>4</v>
      </c>
      <c r="M17" s="15">
        <f t="shared" si="3"/>
        <v>5</v>
      </c>
      <c r="N17" s="15">
        <f t="shared" si="3"/>
        <v>6</v>
      </c>
      <c r="O17" s="15">
        <f t="shared" si="3"/>
        <v>7</v>
      </c>
      <c r="P17" s="15">
        <f t="shared" si="3"/>
        <v>8</v>
      </c>
      <c r="Q17" s="37">
        <f t="shared" si="3"/>
        <v>9</v>
      </c>
    </row>
    <row r="18" spans="1:17" ht="17.25" customHeight="1">
      <c r="A18" s="17">
        <v>4</v>
      </c>
      <c r="B18" s="33">
        <f t="shared" si="4"/>
        <v>2.7777777777777776E-2</v>
      </c>
      <c r="C18" s="34">
        <f t="shared" si="2"/>
        <v>2.7777777777777776E-2</v>
      </c>
      <c r="D18" s="34">
        <f t="shared" si="2"/>
        <v>2.7777777777777776E-2</v>
      </c>
      <c r="E18" s="34">
        <f t="shared" si="2"/>
        <v>2.7777777777777776E-2</v>
      </c>
      <c r="F18" s="34">
        <f t="shared" si="2"/>
        <v>2.7777777777777776E-2</v>
      </c>
      <c r="G18" s="35">
        <f t="shared" si="2"/>
        <v>2.7777777777777776E-2</v>
      </c>
      <c r="H18" s="29">
        <f t="shared" si="5"/>
        <v>0.16666666666666669</v>
      </c>
      <c r="K18" s="17">
        <v>4</v>
      </c>
      <c r="L18" s="36">
        <f t="shared" si="6"/>
        <v>5</v>
      </c>
      <c r="M18" s="15">
        <f t="shared" si="3"/>
        <v>6</v>
      </c>
      <c r="N18" s="15">
        <f t="shared" si="3"/>
        <v>7</v>
      </c>
      <c r="O18" s="15">
        <f t="shared" si="3"/>
        <v>8</v>
      </c>
      <c r="P18" s="15">
        <f t="shared" si="3"/>
        <v>9</v>
      </c>
      <c r="Q18" s="37">
        <f t="shared" si="3"/>
        <v>10</v>
      </c>
    </row>
    <row r="19" spans="1:17" ht="17.25" customHeight="1">
      <c r="A19" s="17">
        <v>5</v>
      </c>
      <c r="B19" s="33">
        <f t="shared" si="4"/>
        <v>2.7777777777777776E-2</v>
      </c>
      <c r="C19" s="34">
        <f t="shared" si="2"/>
        <v>2.7777777777777776E-2</v>
      </c>
      <c r="D19" s="34">
        <f t="shared" si="2"/>
        <v>2.7777777777777776E-2</v>
      </c>
      <c r="E19" s="34">
        <f t="shared" si="2"/>
        <v>2.7777777777777776E-2</v>
      </c>
      <c r="F19" s="34">
        <f t="shared" si="2"/>
        <v>2.7777777777777776E-2</v>
      </c>
      <c r="G19" s="35">
        <f t="shared" si="2"/>
        <v>2.7777777777777776E-2</v>
      </c>
      <c r="H19" s="29">
        <f t="shared" si="5"/>
        <v>0.16666666666666669</v>
      </c>
      <c r="K19" s="17">
        <v>5</v>
      </c>
      <c r="L19" s="36">
        <f t="shared" si="6"/>
        <v>6</v>
      </c>
      <c r="M19" s="15">
        <f t="shared" si="3"/>
        <v>7</v>
      </c>
      <c r="N19" s="15">
        <f t="shared" si="3"/>
        <v>8</v>
      </c>
      <c r="O19" s="15">
        <f t="shared" si="3"/>
        <v>9</v>
      </c>
      <c r="P19" s="15">
        <f t="shared" si="3"/>
        <v>10</v>
      </c>
      <c r="Q19" s="37">
        <f t="shared" si="3"/>
        <v>11</v>
      </c>
    </row>
    <row r="20" spans="1:17" ht="17.25" customHeight="1" thickBot="1">
      <c r="A20" s="17">
        <v>6</v>
      </c>
      <c r="B20" s="38">
        <f t="shared" si="4"/>
        <v>2.7777777777777776E-2</v>
      </c>
      <c r="C20" s="39">
        <f t="shared" si="2"/>
        <v>2.7777777777777776E-2</v>
      </c>
      <c r="D20" s="39">
        <f t="shared" si="2"/>
        <v>2.7777777777777776E-2</v>
      </c>
      <c r="E20" s="39">
        <f t="shared" si="2"/>
        <v>2.7777777777777776E-2</v>
      </c>
      <c r="F20" s="39">
        <f t="shared" si="2"/>
        <v>2.7777777777777776E-2</v>
      </c>
      <c r="G20" s="40">
        <f t="shared" si="2"/>
        <v>2.7777777777777776E-2</v>
      </c>
      <c r="H20" s="29">
        <f t="shared" si="5"/>
        <v>0.16666666666666669</v>
      </c>
      <c r="K20" s="17">
        <v>6</v>
      </c>
      <c r="L20" s="41">
        <f t="shared" si="6"/>
        <v>7</v>
      </c>
      <c r="M20" s="42">
        <f t="shared" si="3"/>
        <v>8</v>
      </c>
      <c r="N20" s="42">
        <f t="shared" si="3"/>
        <v>9</v>
      </c>
      <c r="O20" s="42">
        <f t="shared" si="3"/>
        <v>10</v>
      </c>
      <c r="P20" s="42">
        <f t="shared" si="3"/>
        <v>11</v>
      </c>
      <c r="Q20" s="43">
        <f t="shared" si="3"/>
        <v>12</v>
      </c>
    </row>
    <row r="21" spans="1:17" ht="17.25" customHeight="1">
      <c r="B21" s="34">
        <f>SUM(B15:B20)</f>
        <v>0.16666666666666669</v>
      </c>
      <c r="C21" s="34">
        <f t="shared" ref="C21:G21" si="7">SUM(C15:C20)</f>
        <v>0.16666666666666669</v>
      </c>
      <c r="D21" s="34">
        <f t="shared" si="7"/>
        <v>0.16666666666666669</v>
      </c>
      <c r="E21" s="34">
        <f t="shared" si="7"/>
        <v>0.16666666666666669</v>
      </c>
      <c r="F21" s="34">
        <f t="shared" si="7"/>
        <v>0.16666666666666669</v>
      </c>
      <c r="G21" s="34">
        <f t="shared" si="7"/>
        <v>0.16666666666666669</v>
      </c>
      <c r="H21" s="29">
        <f>SUM(B15:G20)</f>
        <v>1.0000000000000002</v>
      </c>
    </row>
    <row r="22" spans="1:17" ht="7.2" customHeight="1">
      <c r="H22" s="29"/>
    </row>
    <row r="23" spans="1:17" ht="17.25" customHeight="1">
      <c r="A23" s="14" t="s">
        <v>24</v>
      </c>
    </row>
    <row r="24" spans="1:17" ht="17.25" customHeight="1">
      <c r="A24" s="14" t="s">
        <v>20</v>
      </c>
    </row>
    <row r="25" spans="1:17" ht="17.25" customHeight="1">
      <c r="A25" s="16" t="s">
        <v>22</v>
      </c>
      <c r="B25" s="17">
        <v>2</v>
      </c>
      <c r="C25" s="17">
        <v>3</v>
      </c>
      <c r="D25" s="17">
        <v>4</v>
      </c>
      <c r="E25" s="17">
        <v>5</v>
      </c>
      <c r="F25" s="17">
        <v>6</v>
      </c>
      <c r="G25" s="17">
        <v>7</v>
      </c>
      <c r="H25" s="17">
        <v>8</v>
      </c>
      <c r="I25" s="17">
        <v>9</v>
      </c>
      <c r="J25" s="17">
        <v>10</v>
      </c>
      <c r="K25" s="17">
        <v>11</v>
      </c>
      <c r="L25" s="17">
        <v>12</v>
      </c>
    </row>
    <row r="26" spans="1:17" ht="17.25" customHeight="1">
      <c r="A26" s="19" t="s">
        <v>23</v>
      </c>
      <c r="B26" s="15">
        <f>COUNTIF($L$15:$Q$20, B25)</f>
        <v>1</v>
      </c>
      <c r="C26" s="15">
        <f t="shared" ref="C26:L26" si="8">COUNTIF($L$15:$Q$20, C25)</f>
        <v>2</v>
      </c>
      <c r="D26" s="15">
        <f t="shared" si="8"/>
        <v>3</v>
      </c>
      <c r="E26" s="15">
        <f t="shared" si="8"/>
        <v>4</v>
      </c>
      <c r="F26" s="15">
        <f t="shared" si="8"/>
        <v>5</v>
      </c>
      <c r="G26" s="15">
        <f t="shared" si="8"/>
        <v>6</v>
      </c>
      <c r="H26" s="15">
        <f t="shared" si="8"/>
        <v>5</v>
      </c>
      <c r="I26" s="15">
        <f t="shared" si="8"/>
        <v>4</v>
      </c>
      <c r="J26" s="15">
        <f t="shared" si="8"/>
        <v>3</v>
      </c>
      <c r="K26" s="15">
        <f t="shared" si="8"/>
        <v>2</v>
      </c>
      <c r="L26" s="15">
        <f t="shared" si="8"/>
        <v>1</v>
      </c>
    </row>
    <row r="27" spans="1:17" ht="17.25" customHeight="1">
      <c r="A27" s="19" t="s">
        <v>21</v>
      </c>
      <c r="B27" s="34">
        <f>B26/COUNT($L$15:$Q$20)</f>
        <v>2.7777777777777776E-2</v>
      </c>
      <c r="C27" s="34">
        <f t="shared" ref="C27:L27" si="9">C26/COUNT($L$15:$Q$20)</f>
        <v>5.5555555555555552E-2</v>
      </c>
      <c r="D27" s="34">
        <f t="shared" si="9"/>
        <v>8.3333333333333329E-2</v>
      </c>
      <c r="E27" s="34">
        <f t="shared" si="9"/>
        <v>0.1111111111111111</v>
      </c>
      <c r="F27" s="34">
        <f t="shared" si="9"/>
        <v>0.1388888888888889</v>
      </c>
      <c r="G27" s="34">
        <f t="shared" si="9"/>
        <v>0.16666666666666666</v>
      </c>
      <c r="H27" s="34">
        <f t="shared" si="9"/>
        <v>0.1388888888888889</v>
      </c>
      <c r="I27" s="34">
        <f t="shared" si="9"/>
        <v>0.1111111111111111</v>
      </c>
      <c r="J27" s="34">
        <f t="shared" si="9"/>
        <v>8.3333333333333329E-2</v>
      </c>
      <c r="K27" s="34">
        <f t="shared" si="9"/>
        <v>5.5555555555555552E-2</v>
      </c>
      <c r="L27" s="34">
        <f t="shared" si="9"/>
        <v>2.7777777777777776E-2</v>
      </c>
    </row>
  </sheetData>
  <phoneticPr fontId="3" type="noConversion"/>
  <conditionalFormatting sqref="L15:Q2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G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L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L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G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G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Y16"/>
  <sheetViews>
    <sheetView showGridLines="0" workbookViewId="0">
      <selection activeCell="N13" sqref="N13"/>
    </sheetView>
  </sheetViews>
  <sheetFormatPr defaultColWidth="6.44140625" defaultRowHeight="15.75" customHeight="1"/>
  <sheetData>
    <row r="2" spans="2:25">
      <c r="B2" s="2">
        <f>1</f>
        <v>1</v>
      </c>
      <c r="C2" s="2">
        <f t="shared" ref="C2:I2" si="0">B2+1</f>
        <v>2</v>
      </c>
      <c r="D2" s="2">
        <f t="shared" si="0"/>
        <v>3</v>
      </c>
      <c r="E2" s="2">
        <f t="shared" si="0"/>
        <v>4</v>
      </c>
      <c r="F2" s="2">
        <f t="shared" si="0"/>
        <v>5</v>
      </c>
      <c r="G2" s="2">
        <f t="shared" si="0"/>
        <v>6</v>
      </c>
      <c r="H2" s="2">
        <f t="shared" si="0"/>
        <v>7</v>
      </c>
      <c r="I2" s="2">
        <f t="shared" si="0"/>
        <v>8</v>
      </c>
      <c r="S2" s="2"/>
      <c r="T2" s="2">
        <f t="shared" ref="T2:Y2" si="1">SUMPRODUCT(B2:D4*$M$7:$O$9)</f>
        <v>9</v>
      </c>
      <c r="U2" s="2">
        <f t="shared" si="1"/>
        <v>12</v>
      </c>
      <c r="V2" s="2">
        <f t="shared" si="1"/>
        <v>15</v>
      </c>
      <c r="W2" s="2">
        <f t="shared" si="1"/>
        <v>18</v>
      </c>
      <c r="X2" s="2">
        <f t="shared" si="1"/>
        <v>21</v>
      </c>
      <c r="Y2" s="2">
        <f t="shared" si="1"/>
        <v>24</v>
      </c>
    </row>
    <row r="3" spans="2:25">
      <c r="B3" s="2">
        <f t="shared" ref="B3:I3" si="2">B2+1</f>
        <v>2</v>
      </c>
      <c r="C3" s="2">
        <f t="shared" si="2"/>
        <v>3</v>
      </c>
      <c r="D3" s="2">
        <f t="shared" si="2"/>
        <v>4</v>
      </c>
      <c r="E3" s="2">
        <f t="shared" si="2"/>
        <v>5</v>
      </c>
      <c r="F3" s="2">
        <f t="shared" si="2"/>
        <v>6</v>
      </c>
      <c r="G3" s="2">
        <f t="shared" si="2"/>
        <v>7</v>
      </c>
      <c r="H3" s="2">
        <f t="shared" si="2"/>
        <v>8</v>
      </c>
      <c r="I3" s="2">
        <f t="shared" si="2"/>
        <v>9</v>
      </c>
      <c r="S3" s="2"/>
      <c r="T3" s="2">
        <f t="shared" ref="T3:Y3" si="3">SUMPRODUCT(B3:D5*$M$7:$O$9)</f>
        <v>12</v>
      </c>
      <c r="U3" s="2">
        <f t="shared" si="3"/>
        <v>15</v>
      </c>
      <c r="V3" s="2">
        <f t="shared" si="3"/>
        <v>18</v>
      </c>
      <c r="W3" s="2">
        <f t="shared" si="3"/>
        <v>21</v>
      </c>
      <c r="X3" s="2">
        <f t="shared" si="3"/>
        <v>24</v>
      </c>
      <c r="Y3" s="2">
        <f t="shared" si="3"/>
        <v>27</v>
      </c>
    </row>
    <row r="4" spans="2:25">
      <c r="B4" s="2">
        <f t="shared" ref="B4:I4" si="4">B3+1</f>
        <v>3</v>
      </c>
      <c r="C4" s="2">
        <f t="shared" si="4"/>
        <v>4</v>
      </c>
      <c r="D4" s="2">
        <f t="shared" si="4"/>
        <v>5</v>
      </c>
      <c r="E4" s="2">
        <f t="shared" si="4"/>
        <v>6</v>
      </c>
      <c r="F4" s="2">
        <f t="shared" si="4"/>
        <v>7</v>
      </c>
      <c r="G4" s="2">
        <f t="shared" si="4"/>
        <v>8</v>
      </c>
      <c r="H4" s="2">
        <f t="shared" si="4"/>
        <v>9</v>
      </c>
      <c r="I4" s="2">
        <f t="shared" si="4"/>
        <v>10</v>
      </c>
      <c r="S4" s="2"/>
      <c r="T4" s="2">
        <f t="shared" ref="T4:Y4" si="5">SUMPRODUCT(B4:D6*$M$7:$O$9)</f>
        <v>15</v>
      </c>
      <c r="U4" s="2">
        <f t="shared" si="5"/>
        <v>18</v>
      </c>
      <c r="V4" s="2">
        <f t="shared" si="5"/>
        <v>21</v>
      </c>
      <c r="W4" s="2">
        <f t="shared" si="5"/>
        <v>24</v>
      </c>
      <c r="X4" s="2">
        <f t="shared" si="5"/>
        <v>27</v>
      </c>
      <c r="Y4" s="2">
        <f t="shared" si="5"/>
        <v>30</v>
      </c>
    </row>
    <row r="5" spans="2:25">
      <c r="B5" s="2">
        <f t="shared" ref="B5:I5" si="6">B4+1</f>
        <v>4</v>
      </c>
      <c r="C5" s="2">
        <f t="shared" si="6"/>
        <v>5</v>
      </c>
      <c r="D5" s="2">
        <f t="shared" si="6"/>
        <v>6</v>
      </c>
      <c r="E5" s="2">
        <f t="shared" si="6"/>
        <v>7</v>
      </c>
      <c r="F5" s="2">
        <f t="shared" si="6"/>
        <v>8</v>
      </c>
      <c r="G5" s="2">
        <f t="shared" si="6"/>
        <v>9</v>
      </c>
      <c r="H5" s="2">
        <f t="shared" si="6"/>
        <v>10</v>
      </c>
      <c r="I5" s="2">
        <f t="shared" si="6"/>
        <v>11</v>
      </c>
      <c r="S5" s="2"/>
      <c r="T5" s="2">
        <f t="shared" ref="T5:Y5" si="7">SUMPRODUCT(B5:D7*$M$7:$O$9)</f>
        <v>18</v>
      </c>
      <c r="U5" s="2">
        <f t="shared" si="7"/>
        <v>21</v>
      </c>
      <c r="V5" s="2">
        <f t="shared" si="7"/>
        <v>24</v>
      </c>
      <c r="W5" s="2">
        <f t="shared" si="7"/>
        <v>27</v>
      </c>
      <c r="X5" s="2">
        <f t="shared" si="7"/>
        <v>30</v>
      </c>
      <c r="Y5" s="2">
        <f t="shared" si="7"/>
        <v>33</v>
      </c>
    </row>
    <row r="6" spans="2:25" thickBot="1">
      <c r="B6" s="2">
        <f t="shared" ref="B6:I6" si="8">B5+1</f>
        <v>5</v>
      </c>
      <c r="C6" s="2">
        <f t="shared" si="8"/>
        <v>6</v>
      </c>
      <c r="D6" s="2">
        <f t="shared" si="8"/>
        <v>7</v>
      </c>
      <c r="E6" s="2">
        <f t="shared" si="8"/>
        <v>8</v>
      </c>
      <c r="F6" s="2">
        <f t="shared" si="8"/>
        <v>9</v>
      </c>
      <c r="G6" s="2">
        <f t="shared" si="8"/>
        <v>10</v>
      </c>
      <c r="H6" s="2">
        <f t="shared" si="8"/>
        <v>11</v>
      </c>
      <c r="I6" s="2">
        <f t="shared" si="8"/>
        <v>12</v>
      </c>
      <c r="S6" s="2"/>
      <c r="T6" s="2">
        <f t="shared" ref="T6:Y6" si="9">SUMPRODUCT(B6:D8*$M$7:$O$9)</f>
        <v>21</v>
      </c>
      <c r="U6" s="2">
        <f t="shared" si="9"/>
        <v>24</v>
      </c>
      <c r="V6" s="2">
        <f t="shared" si="9"/>
        <v>27</v>
      </c>
      <c r="W6" s="2">
        <f t="shared" si="9"/>
        <v>30</v>
      </c>
      <c r="X6" s="2">
        <f t="shared" si="9"/>
        <v>33</v>
      </c>
      <c r="Y6" s="2">
        <f t="shared" si="9"/>
        <v>36</v>
      </c>
    </row>
    <row r="7" spans="2:25" ht="13.2">
      <c r="B7" s="2">
        <f t="shared" ref="B7:I7" si="10">B6+1</f>
        <v>6</v>
      </c>
      <c r="C7" s="2">
        <f t="shared" si="10"/>
        <v>7</v>
      </c>
      <c r="D7" s="2">
        <f t="shared" si="10"/>
        <v>8</v>
      </c>
      <c r="E7" s="2">
        <f t="shared" si="10"/>
        <v>9</v>
      </c>
      <c r="F7" s="2">
        <f t="shared" si="10"/>
        <v>10</v>
      </c>
      <c r="G7" s="2">
        <f t="shared" si="10"/>
        <v>11</v>
      </c>
      <c r="H7" s="2">
        <f t="shared" si="10"/>
        <v>12</v>
      </c>
      <c r="I7" s="2">
        <f t="shared" si="10"/>
        <v>13</v>
      </c>
      <c r="M7" s="55">
        <v>1</v>
      </c>
      <c r="N7" s="56">
        <v>0</v>
      </c>
      <c r="O7" s="57">
        <v>0</v>
      </c>
      <c r="S7" s="2"/>
      <c r="T7" s="2">
        <f t="shared" ref="T7:Y7" si="11">SUMPRODUCT(B7:D9*$M$7:$O$9)</f>
        <v>24</v>
      </c>
      <c r="U7" s="2">
        <f t="shared" si="11"/>
        <v>27</v>
      </c>
      <c r="V7" s="2">
        <f t="shared" si="11"/>
        <v>30</v>
      </c>
      <c r="W7" s="2">
        <f t="shared" si="11"/>
        <v>33</v>
      </c>
      <c r="X7" s="2">
        <f t="shared" si="11"/>
        <v>36</v>
      </c>
      <c r="Y7" s="2">
        <f t="shared" si="11"/>
        <v>39</v>
      </c>
    </row>
    <row r="8" spans="2:25" ht="13.2">
      <c r="B8" s="2">
        <f t="shared" ref="B8:I8" si="12">B7+1</f>
        <v>7</v>
      </c>
      <c r="C8" s="2">
        <f t="shared" si="12"/>
        <v>8</v>
      </c>
      <c r="D8" s="2">
        <f t="shared" si="12"/>
        <v>9</v>
      </c>
      <c r="E8" s="2">
        <f t="shared" si="12"/>
        <v>10</v>
      </c>
      <c r="F8" s="2">
        <f t="shared" si="12"/>
        <v>11</v>
      </c>
      <c r="G8" s="2">
        <f t="shared" si="12"/>
        <v>12</v>
      </c>
      <c r="H8" s="2">
        <f t="shared" si="12"/>
        <v>13</v>
      </c>
      <c r="I8" s="2">
        <f t="shared" si="12"/>
        <v>14</v>
      </c>
      <c r="M8" s="58">
        <v>0</v>
      </c>
      <c r="N8" s="59">
        <v>1</v>
      </c>
      <c r="O8" s="60">
        <v>0</v>
      </c>
      <c r="S8" s="2"/>
      <c r="T8" s="2">
        <f t="shared" ref="T8:Y8" si="13">SUMPRODUCT(B8:D10*$M$7:$O$9)</f>
        <v>27</v>
      </c>
      <c r="U8" s="2">
        <f t="shared" si="13"/>
        <v>30</v>
      </c>
      <c r="V8" s="2">
        <f t="shared" si="13"/>
        <v>33</v>
      </c>
      <c r="W8" s="2">
        <f t="shared" si="13"/>
        <v>36</v>
      </c>
      <c r="X8" s="2">
        <f t="shared" si="13"/>
        <v>39</v>
      </c>
      <c r="Y8" s="2">
        <f t="shared" si="13"/>
        <v>42</v>
      </c>
    </row>
    <row r="9" spans="2:25" ht="13.8" thickBot="1">
      <c r="B9" s="2">
        <f t="shared" ref="B9:I9" si="14">B8+1</f>
        <v>8</v>
      </c>
      <c r="C9" s="2">
        <f t="shared" si="14"/>
        <v>9</v>
      </c>
      <c r="D9" s="2">
        <f t="shared" si="14"/>
        <v>10</v>
      </c>
      <c r="E9" s="2">
        <f t="shared" si="14"/>
        <v>11</v>
      </c>
      <c r="F9" s="2">
        <f t="shared" si="14"/>
        <v>12</v>
      </c>
      <c r="G9" s="2">
        <f t="shared" si="14"/>
        <v>13</v>
      </c>
      <c r="H9" s="2">
        <f t="shared" si="14"/>
        <v>14</v>
      </c>
      <c r="I9" s="2">
        <f t="shared" si="14"/>
        <v>15</v>
      </c>
      <c r="M9" s="61">
        <v>0</v>
      </c>
      <c r="N9" s="62">
        <v>0</v>
      </c>
      <c r="O9" s="63">
        <v>1</v>
      </c>
      <c r="S9" s="2"/>
      <c r="T9" s="2">
        <f t="shared" ref="T9:Y9" si="15">SUMPRODUCT(B9:D11*$M$7:$O$9)</f>
        <v>30</v>
      </c>
      <c r="U9" s="2">
        <f t="shared" si="15"/>
        <v>33</v>
      </c>
      <c r="V9" s="2">
        <f t="shared" si="15"/>
        <v>36</v>
      </c>
      <c r="W9" s="2">
        <f t="shared" si="15"/>
        <v>39</v>
      </c>
      <c r="X9" s="2">
        <f t="shared" si="15"/>
        <v>42</v>
      </c>
      <c r="Y9" s="2">
        <f t="shared" si="15"/>
        <v>45</v>
      </c>
    </row>
    <row r="10" spans="2:25" ht="13.2">
      <c r="B10" s="2">
        <f t="shared" ref="B10:I10" si="16">B9+1</f>
        <v>9</v>
      </c>
      <c r="C10" s="2">
        <f t="shared" si="16"/>
        <v>10</v>
      </c>
      <c r="D10" s="2">
        <f t="shared" si="16"/>
        <v>11</v>
      </c>
      <c r="E10" s="2">
        <f t="shared" si="16"/>
        <v>12</v>
      </c>
      <c r="F10" s="2">
        <f t="shared" si="16"/>
        <v>13</v>
      </c>
      <c r="G10" s="2">
        <f t="shared" si="16"/>
        <v>14</v>
      </c>
      <c r="H10" s="2">
        <f t="shared" si="16"/>
        <v>15</v>
      </c>
      <c r="I10" s="2">
        <f t="shared" si="16"/>
        <v>16</v>
      </c>
      <c r="S10" s="2"/>
      <c r="T10" s="2">
        <f t="shared" ref="T10:Y10" si="17">SUMPRODUCT(B10:D12*$M$7:$O$9)</f>
        <v>33</v>
      </c>
      <c r="U10" s="2">
        <f t="shared" si="17"/>
        <v>36</v>
      </c>
      <c r="V10" s="2">
        <f t="shared" si="17"/>
        <v>39</v>
      </c>
      <c r="W10" s="2">
        <f t="shared" si="17"/>
        <v>42</v>
      </c>
      <c r="X10" s="2">
        <f t="shared" si="17"/>
        <v>45</v>
      </c>
      <c r="Y10" s="2">
        <f t="shared" si="17"/>
        <v>48</v>
      </c>
    </row>
    <row r="11" spans="2:25">
      <c r="B11" s="2">
        <f t="shared" ref="B11:I11" si="18">B10+1</f>
        <v>10</v>
      </c>
      <c r="C11" s="2">
        <f t="shared" si="18"/>
        <v>11</v>
      </c>
      <c r="D11" s="2">
        <f t="shared" si="18"/>
        <v>12</v>
      </c>
      <c r="E11" s="2">
        <f t="shared" si="18"/>
        <v>13</v>
      </c>
      <c r="F11" s="2">
        <f t="shared" si="18"/>
        <v>14</v>
      </c>
      <c r="G11" s="2">
        <f t="shared" si="18"/>
        <v>15</v>
      </c>
      <c r="H11" s="2">
        <f t="shared" si="18"/>
        <v>16</v>
      </c>
      <c r="I11" s="2">
        <f t="shared" si="18"/>
        <v>17</v>
      </c>
      <c r="S11" s="2"/>
      <c r="T11" s="2">
        <f t="shared" ref="T11:Y11" si="19">SUMPRODUCT(B11:D13*$M$7:$O$9)</f>
        <v>36</v>
      </c>
      <c r="U11" s="2">
        <f t="shared" si="19"/>
        <v>39</v>
      </c>
      <c r="V11" s="2">
        <f t="shared" si="19"/>
        <v>42</v>
      </c>
      <c r="W11" s="2">
        <f t="shared" si="19"/>
        <v>45</v>
      </c>
      <c r="X11" s="2">
        <f t="shared" si="19"/>
        <v>48</v>
      </c>
      <c r="Y11" s="2">
        <f t="shared" si="19"/>
        <v>51</v>
      </c>
    </row>
    <row r="12" spans="2:25">
      <c r="B12" s="2">
        <f t="shared" ref="B12:I12" si="20">B11+1</f>
        <v>11</v>
      </c>
      <c r="C12" s="2">
        <f t="shared" si="20"/>
        <v>12</v>
      </c>
      <c r="D12" s="2">
        <f t="shared" si="20"/>
        <v>13</v>
      </c>
      <c r="E12" s="2">
        <f t="shared" si="20"/>
        <v>14</v>
      </c>
      <c r="F12" s="2">
        <f t="shared" si="20"/>
        <v>15</v>
      </c>
      <c r="G12" s="2">
        <f t="shared" si="20"/>
        <v>16</v>
      </c>
      <c r="H12" s="2">
        <f t="shared" si="20"/>
        <v>17</v>
      </c>
      <c r="I12" s="2">
        <f t="shared" si="20"/>
        <v>18</v>
      </c>
      <c r="S12" s="2"/>
      <c r="T12" s="2">
        <f t="shared" ref="T12:Y12" si="21">SUMPRODUCT(B12:D14*$M$7:$O$9)</f>
        <v>39</v>
      </c>
      <c r="U12" s="2">
        <f t="shared" si="21"/>
        <v>42</v>
      </c>
      <c r="V12" s="2">
        <f t="shared" si="21"/>
        <v>45</v>
      </c>
      <c r="W12" s="2">
        <f t="shared" si="21"/>
        <v>48</v>
      </c>
      <c r="X12" s="2">
        <f t="shared" si="21"/>
        <v>51</v>
      </c>
      <c r="Y12" s="2">
        <f t="shared" si="21"/>
        <v>54</v>
      </c>
    </row>
    <row r="13" spans="2:25">
      <c r="B13" s="2">
        <f t="shared" ref="B13:I13" si="22">B12+1</f>
        <v>12</v>
      </c>
      <c r="C13" s="2">
        <f t="shared" si="22"/>
        <v>13</v>
      </c>
      <c r="D13" s="2">
        <f t="shared" si="22"/>
        <v>14</v>
      </c>
      <c r="E13" s="2">
        <f t="shared" si="22"/>
        <v>15</v>
      </c>
      <c r="F13" s="2">
        <f t="shared" si="22"/>
        <v>16</v>
      </c>
      <c r="G13" s="2">
        <f t="shared" si="22"/>
        <v>17</v>
      </c>
      <c r="H13" s="2">
        <f t="shared" si="22"/>
        <v>18</v>
      </c>
      <c r="I13" s="2">
        <f t="shared" si="22"/>
        <v>19</v>
      </c>
      <c r="S13" s="2"/>
      <c r="T13" s="2">
        <f t="shared" ref="T13:Y13" si="23">SUMPRODUCT(B13:D15*$M$7:$O$9)</f>
        <v>42</v>
      </c>
      <c r="U13" s="2">
        <f t="shared" si="23"/>
        <v>45</v>
      </c>
      <c r="V13" s="2">
        <f t="shared" si="23"/>
        <v>48</v>
      </c>
      <c r="W13" s="2">
        <f t="shared" si="23"/>
        <v>51</v>
      </c>
      <c r="X13" s="2">
        <f t="shared" si="23"/>
        <v>54</v>
      </c>
      <c r="Y13" s="2">
        <f t="shared" si="23"/>
        <v>57</v>
      </c>
    </row>
    <row r="14" spans="2:25">
      <c r="B14" s="2">
        <f t="shared" ref="B14:I14" si="24">B13+1</f>
        <v>13</v>
      </c>
      <c r="C14" s="2">
        <f t="shared" si="24"/>
        <v>14</v>
      </c>
      <c r="D14" s="2">
        <f t="shared" si="24"/>
        <v>15</v>
      </c>
      <c r="E14" s="2">
        <f t="shared" si="24"/>
        <v>16</v>
      </c>
      <c r="F14" s="2">
        <f t="shared" si="24"/>
        <v>17</v>
      </c>
      <c r="G14" s="2">
        <f t="shared" si="24"/>
        <v>18</v>
      </c>
      <c r="H14" s="2">
        <f t="shared" si="24"/>
        <v>19</v>
      </c>
      <c r="I14" s="2">
        <f t="shared" si="24"/>
        <v>20</v>
      </c>
      <c r="S14" s="2"/>
      <c r="T14" s="2">
        <f t="shared" ref="T14:Y14" si="25">SUMPRODUCT(B14:D16*$M$7:$O$9)</f>
        <v>45</v>
      </c>
      <c r="U14" s="2">
        <f t="shared" si="25"/>
        <v>48</v>
      </c>
      <c r="V14" s="2">
        <f t="shared" si="25"/>
        <v>51</v>
      </c>
      <c r="W14" s="2">
        <f t="shared" si="25"/>
        <v>54</v>
      </c>
      <c r="X14" s="2">
        <f t="shared" si="25"/>
        <v>57</v>
      </c>
      <c r="Y14" s="2">
        <f t="shared" si="25"/>
        <v>60</v>
      </c>
    </row>
    <row r="15" spans="2:25">
      <c r="B15" s="2">
        <f t="shared" ref="B15:I15" si="26">B14+1</f>
        <v>14</v>
      </c>
      <c r="C15" s="2">
        <f t="shared" si="26"/>
        <v>15</v>
      </c>
      <c r="D15" s="2">
        <f t="shared" si="26"/>
        <v>16</v>
      </c>
      <c r="E15" s="2">
        <f t="shared" si="26"/>
        <v>17</v>
      </c>
      <c r="F15" s="2">
        <f t="shared" si="26"/>
        <v>18</v>
      </c>
      <c r="G15" s="2">
        <f t="shared" si="26"/>
        <v>19</v>
      </c>
      <c r="H15" s="2">
        <f t="shared" si="26"/>
        <v>20</v>
      </c>
      <c r="I15" s="2">
        <f t="shared" si="26"/>
        <v>21</v>
      </c>
    </row>
    <row r="16" spans="2:25">
      <c r="B16" s="2">
        <f t="shared" ref="B16:I16" si="27">B15+1</f>
        <v>15</v>
      </c>
      <c r="C16" s="2">
        <f t="shared" si="27"/>
        <v>16</v>
      </c>
      <c r="D16" s="2">
        <f t="shared" si="27"/>
        <v>17</v>
      </c>
      <c r="E16" s="2">
        <f t="shared" si="27"/>
        <v>18</v>
      </c>
      <c r="F16" s="2">
        <f t="shared" si="27"/>
        <v>19</v>
      </c>
      <c r="G16" s="2">
        <f t="shared" si="27"/>
        <v>20</v>
      </c>
      <c r="H16" s="2">
        <f t="shared" si="27"/>
        <v>21</v>
      </c>
      <c r="I16" s="2">
        <f t="shared" si="27"/>
        <v>22</v>
      </c>
    </row>
  </sheetData>
  <phoneticPr fontId="3" type="noConversion"/>
  <conditionalFormatting sqref="B2:I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Y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1C38-35F1-46F7-9E10-BAE9E735E1FC}">
  <dimension ref="A1:Q28"/>
  <sheetViews>
    <sheetView showGridLines="0" workbookViewId="0">
      <selection activeCell="K11" sqref="K11"/>
    </sheetView>
  </sheetViews>
  <sheetFormatPr defaultRowHeight="13.2"/>
  <cols>
    <col min="1" max="5" width="5.5546875" customWidth="1"/>
    <col min="6" max="6" width="11.44140625" customWidth="1"/>
    <col min="7" max="9" width="6.6640625" customWidth="1"/>
    <col min="10" max="10" width="11.109375" customWidth="1"/>
    <col min="11" max="11" width="7.109375" customWidth="1"/>
    <col min="12" max="12" width="22.33203125" customWidth="1"/>
    <col min="13" max="13" width="8.88671875" customWidth="1"/>
    <col min="16" max="17" width="11.109375" customWidth="1"/>
  </cols>
  <sheetData>
    <row r="1" spans="1:17">
      <c r="A1" s="44" t="s">
        <v>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4" spans="1:17" ht="19.2">
      <c r="A4" s="4" t="s">
        <v>2</v>
      </c>
      <c r="G4" s="4" t="s">
        <v>3</v>
      </c>
      <c r="K4" s="4" t="s">
        <v>4</v>
      </c>
      <c r="M4" s="4" t="s">
        <v>5</v>
      </c>
    </row>
    <row r="5" spans="1:17" ht="22.95" customHeight="1">
      <c r="A5" s="5">
        <v>0</v>
      </c>
      <c r="B5" s="6">
        <v>1</v>
      </c>
      <c r="C5" s="6">
        <v>1</v>
      </c>
      <c r="D5" s="6">
        <v>1</v>
      </c>
      <c r="E5" s="5">
        <v>0</v>
      </c>
      <c r="G5" s="7">
        <v>1</v>
      </c>
      <c r="H5" s="7">
        <v>1</v>
      </c>
      <c r="I5" s="7">
        <v>1</v>
      </c>
      <c r="K5" s="8" t="s">
        <v>6</v>
      </c>
      <c r="M5" s="9">
        <f>MAX(0,SUMPRODUCT(A5:C7,$G$5:$I$7))</f>
        <v>0</v>
      </c>
      <c r="N5" s="9">
        <f t="shared" ref="N5:O9" si="0">MAX(0,SUMPRODUCT(B5:D7,$G$5:$I$7))</f>
        <v>5</v>
      </c>
      <c r="O5" s="9">
        <f t="shared" si="0"/>
        <v>2</v>
      </c>
    </row>
    <row r="6" spans="1:17" ht="22.95" customHeight="1">
      <c r="A6" s="5">
        <v>0</v>
      </c>
      <c r="B6" s="6">
        <v>1</v>
      </c>
      <c r="C6" s="5">
        <v>0</v>
      </c>
      <c r="D6" s="5">
        <v>0</v>
      </c>
      <c r="E6" s="5">
        <v>0</v>
      </c>
      <c r="G6" s="7">
        <v>1</v>
      </c>
      <c r="H6" s="7">
        <v>-10</v>
      </c>
      <c r="I6" s="7">
        <v>1</v>
      </c>
      <c r="K6" s="10" t="s">
        <v>7</v>
      </c>
      <c r="M6" s="9">
        <f t="shared" ref="M6:M9" si="1">MAX(0,SUMPRODUCT(A6:C8,$G$5:$I$7))</f>
        <v>0</v>
      </c>
      <c r="N6" s="9">
        <f t="shared" si="0"/>
        <v>5</v>
      </c>
      <c r="O6" s="9">
        <f t="shared" si="0"/>
        <v>2</v>
      </c>
    </row>
    <row r="7" spans="1:17" ht="22.95" customHeight="1">
      <c r="A7" s="5">
        <v>0</v>
      </c>
      <c r="B7" s="6">
        <v>1</v>
      </c>
      <c r="C7" s="5">
        <v>0</v>
      </c>
      <c r="D7" s="5">
        <v>0</v>
      </c>
      <c r="E7" s="5">
        <v>0</v>
      </c>
      <c r="G7" s="7">
        <v>1</v>
      </c>
      <c r="H7" s="7">
        <v>1</v>
      </c>
      <c r="I7" s="7">
        <v>1</v>
      </c>
      <c r="K7" s="10" t="s">
        <v>8</v>
      </c>
      <c r="M7" s="9">
        <f t="shared" si="1"/>
        <v>0</v>
      </c>
      <c r="N7" s="9">
        <f t="shared" si="0"/>
        <v>0</v>
      </c>
      <c r="O7" s="9">
        <f t="shared" si="0"/>
        <v>0</v>
      </c>
    </row>
    <row r="8" spans="1:17" ht="22.95" customHeight="1">
      <c r="A8" s="5">
        <v>0</v>
      </c>
      <c r="B8" s="6">
        <v>1</v>
      </c>
      <c r="C8" s="6">
        <v>1</v>
      </c>
      <c r="D8" s="6">
        <v>1</v>
      </c>
      <c r="E8" s="5">
        <v>0</v>
      </c>
      <c r="K8" s="10" t="s">
        <v>9</v>
      </c>
      <c r="M8" s="9">
        <f t="shared" si="1"/>
        <v>0</v>
      </c>
      <c r="N8" s="11">
        <f t="shared" si="0"/>
        <v>8</v>
      </c>
      <c r="O8" s="9">
        <f t="shared" si="0"/>
        <v>0</v>
      </c>
    </row>
    <row r="9" spans="1:17" ht="22.95" customHeight="1">
      <c r="A9" s="5">
        <v>0</v>
      </c>
      <c r="B9" s="6">
        <v>1</v>
      </c>
      <c r="C9" s="5">
        <v>0</v>
      </c>
      <c r="D9" s="6">
        <v>1</v>
      </c>
      <c r="E9" s="5">
        <v>0</v>
      </c>
      <c r="M9" s="9">
        <f t="shared" si="1"/>
        <v>0</v>
      </c>
      <c r="N9" s="9">
        <f t="shared" si="0"/>
        <v>0</v>
      </c>
      <c r="O9" s="9">
        <f t="shared" si="0"/>
        <v>0</v>
      </c>
    </row>
    <row r="10" spans="1:17" ht="22.95" customHeight="1">
      <c r="A10" s="5">
        <v>0</v>
      </c>
      <c r="B10" s="6">
        <v>1</v>
      </c>
      <c r="C10" s="6">
        <v>1</v>
      </c>
      <c r="D10" s="6">
        <v>1</v>
      </c>
      <c r="E10" s="5">
        <v>0</v>
      </c>
    </row>
    <row r="11" spans="1:17" ht="22.95" customHeight="1">
      <c r="A11" s="5">
        <v>0</v>
      </c>
      <c r="B11" s="5">
        <v>0</v>
      </c>
      <c r="C11" s="5">
        <v>0</v>
      </c>
      <c r="D11" s="5">
        <v>0</v>
      </c>
      <c r="E11" s="5">
        <v>0</v>
      </c>
    </row>
    <row r="14" spans="1:17">
      <c r="A14" s="46" t="s">
        <v>10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8"/>
    </row>
    <row r="15" spans="1:17">
      <c r="A15" s="49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50"/>
    </row>
    <row r="16" spans="1:17">
      <c r="A16" s="49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50"/>
    </row>
    <row r="17" spans="1:17">
      <c r="A17" s="49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50"/>
    </row>
    <row r="18" spans="1:17" ht="39" customHeight="1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3"/>
    </row>
    <row r="21" spans="1:17" ht="19.2">
      <c r="A21" s="4" t="s">
        <v>11</v>
      </c>
      <c r="G21" s="4" t="s">
        <v>3</v>
      </c>
      <c r="K21" s="4" t="s">
        <v>4</v>
      </c>
      <c r="M21" s="4" t="s">
        <v>5</v>
      </c>
    </row>
    <row r="22" spans="1:17" ht="22.95" customHeight="1">
      <c r="A22" s="5">
        <v>0</v>
      </c>
      <c r="B22" s="6">
        <v>1</v>
      </c>
      <c r="C22" s="6">
        <v>1</v>
      </c>
      <c r="D22" s="6">
        <v>1</v>
      </c>
      <c r="E22" s="5">
        <v>0</v>
      </c>
      <c r="G22" s="7">
        <v>1</v>
      </c>
      <c r="H22" s="7">
        <v>1</v>
      </c>
      <c r="I22" s="7">
        <v>1</v>
      </c>
      <c r="K22" s="8"/>
      <c r="M22" s="9">
        <f>MAX(0,SUMPRODUCT(A22:C24,$G$5:$I$7))</f>
        <v>0</v>
      </c>
      <c r="N22" s="11">
        <f t="shared" ref="N22:N26" si="2">MAX(0,SUMPRODUCT(B22:D24,$G$5:$I$7))</f>
        <v>8</v>
      </c>
      <c r="O22" s="9">
        <f t="shared" ref="O22:O26" si="3">MAX(0,SUMPRODUCT(C22:E24,$G$5:$I$7))</f>
        <v>0</v>
      </c>
    </row>
    <row r="23" spans="1:17" ht="22.95" customHeight="1">
      <c r="A23" s="5">
        <v>0</v>
      </c>
      <c r="B23" s="6">
        <v>1</v>
      </c>
      <c r="C23" s="5">
        <v>0</v>
      </c>
      <c r="D23" s="6">
        <v>1</v>
      </c>
      <c r="E23" s="5">
        <v>0</v>
      </c>
      <c r="G23" s="7">
        <v>1</v>
      </c>
      <c r="H23" s="7">
        <v>-10</v>
      </c>
      <c r="I23" s="7">
        <v>1</v>
      </c>
      <c r="K23" s="10"/>
      <c r="M23" s="9">
        <f t="shared" ref="M23:M26" si="4">MAX(0,SUMPRODUCT(A23:C25,$G$5:$I$7))</f>
        <v>0</v>
      </c>
      <c r="N23" s="9">
        <f t="shared" si="2"/>
        <v>0</v>
      </c>
      <c r="O23" s="9">
        <f t="shared" si="3"/>
        <v>0</v>
      </c>
    </row>
    <row r="24" spans="1:17" ht="22.95" customHeight="1">
      <c r="A24" s="5">
        <v>0</v>
      </c>
      <c r="B24" s="6">
        <v>1</v>
      </c>
      <c r="C24" s="6">
        <v>1</v>
      </c>
      <c r="D24" s="6">
        <v>1</v>
      </c>
      <c r="E24" s="5">
        <v>0</v>
      </c>
      <c r="G24" s="7">
        <v>1</v>
      </c>
      <c r="H24" s="7">
        <v>1</v>
      </c>
      <c r="I24" s="7">
        <v>1</v>
      </c>
      <c r="K24" s="10"/>
      <c r="M24" s="9">
        <f t="shared" si="4"/>
        <v>2</v>
      </c>
      <c r="N24" s="9">
        <f t="shared" si="2"/>
        <v>5</v>
      </c>
      <c r="O24" s="9">
        <f t="shared" si="3"/>
        <v>0</v>
      </c>
    </row>
    <row r="25" spans="1:17" ht="22.95" customHeight="1">
      <c r="A25" s="5">
        <v>0</v>
      </c>
      <c r="B25" s="5">
        <v>0</v>
      </c>
      <c r="C25" s="5">
        <v>0</v>
      </c>
      <c r="D25" s="6">
        <v>1</v>
      </c>
      <c r="E25" s="5">
        <v>0</v>
      </c>
      <c r="K25" s="10"/>
      <c r="M25" s="9">
        <f t="shared" si="4"/>
        <v>2</v>
      </c>
      <c r="N25" s="12">
        <f t="shared" si="2"/>
        <v>5</v>
      </c>
      <c r="O25" s="9">
        <f t="shared" si="3"/>
        <v>0</v>
      </c>
    </row>
    <row r="26" spans="1:17" ht="22.95" customHeight="1">
      <c r="A26" s="5">
        <v>0</v>
      </c>
      <c r="B26" s="5">
        <v>0</v>
      </c>
      <c r="C26" s="5">
        <v>0</v>
      </c>
      <c r="D26" s="6">
        <v>1</v>
      </c>
      <c r="E26" s="5">
        <v>0</v>
      </c>
      <c r="M26" s="9">
        <f t="shared" si="4"/>
        <v>0</v>
      </c>
      <c r="N26" s="9">
        <f t="shared" si="2"/>
        <v>0</v>
      </c>
      <c r="O26" s="9">
        <f t="shared" si="3"/>
        <v>0</v>
      </c>
    </row>
    <row r="27" spans="1:17" ht="22.95" customHeight="1">
      <c r="A27" s="5">
        <v>0</v>
      </c>
      <c r="B27" s="6">
        <v>1</v>
      </c>
      <c r="C27" s="6">
        <v>1</v>
      </c>
      <c r="D27" s="6">
        <v>1</v>
      </c>
      <c r="E27" s="5">
        <v>0</v>
      </c>
    </row>
    <row r="28" spans="1:17" ht="22.95" customHeight="1">
      <c r="A28" s="5">
        <v>0</v>
      </c>
      <c r="B28" s="5">
        <v>0</v>
      </c>
      <c r="C28" s="5">
        <v>0</v>
      </c>
      <c r="D28" s="5">
        <v>0</v>
      </c>
      <c r="E28" s="5">
        <v>0</v>
      </c>
    </row>
  </sheetData>
  <mergeCells count="2">
    <mergeCell ref="A1:Q2"/>
    <mergeCell ref="A14:Q18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79F7-11C8-418A-8E8F-A1FF52374681}">
  <dimension ref="A2:Y50"/>
  <sheetViews>
    <sheetView showGridLines="0" tabSelected="1" zoomScale="92" workbookViewId="0">
      <selection activeCell="L26" sqref="L26"/>
    </sheetView>
  </sheetViews>
  <sheetFormatPr defaultColWidth="6.44140625" defaultRowHeight="13.2"/>
  <cols>
    <col min="22" max="22" width="9.33203125" bestFit="1" customWidth="1"/>
  </cols>
  <sheetData>
    <row r="2" spans="1:25">
      <c r="B2" s="3" t="s">
        <v>65</v>
      </c>
    </row>
    <row r="3" spans="1:25" ht="13.8" thickBot="1"/>
    <row r="4" spans="1:25" ht="13.8" thickBot="1"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13" t="s">
        <v>32</v>
      </c>
      <c r="I4" s="13" t="s">
        <v>33</v>
      </c>
      <c r="K4" s="3" t="s">
        <v>0</v>
      </c>
      <c r="L4" s="2"/>
      <c r="M4" s="64">
        <f>1</f>
        <v>1</v>
      </c>
      <c r="N4" s="65">
        <v>0</v>
      </c>
      <c r="O4" s="65">
        <f>N4+1</f>
        <v>1</v>
      </c>
      <c r="P4" s="65">
        <v>0</v>
      </c>
      <c r="Q4" s="65">
        <f>P4+1</f>
        <v>1</v>
      </c>
      <c r="R4" s="65">
        <v>0</v>
      </c>
      <c r="S4" s="65">
        <f>R4+1</f>
        <v>1</v>
      </c>
      <c r="T4" s="66">
        <v>0</v>
      </c>
      <c r="V4" s="1">
        <f>SUMPRODUCT(B5:I5,$M$4:$T$4)</f>
        <v>16</v>
      </c>
      <c r="W4" s="54" t="s">
        <v>49</v>
      </c>
    </row>
    <row r="5" spans="1:25">
      <c r="A5" s="13" t="s">
        <v>34</v>
      </c>
      <c r="B5" s="2">
        <f>1</f>
        <v>1</v>
      </c>
      <c r="C5" s="2">
        <f t="shared" ref="C5:I5" si="0">B5+1</f>
        <v>2</v>
      </c>
      <c r="D5" s="2">
        <f t="shared" si="0"/>
        <v>3</v>
      </c>
      <c r="E5" s="2">
        <f t="shared" si="0"/>
        <v>4</v>
      </c>
      <c r="F5" s="2">
        <f t="shared" si="0"/>
        <v>5</v>
      </c>
      <c r="G5" s="2">
        <f t="shared" si="0"/>
        <v>6</v>
      </c>
      <c r="H5" s="2">
        <f t="shared" si="0"/>
        <v>7</v>
      </c>
      <c r="I5" s="2">
        <f t="shared" si="0"/>
        <v>8</v>
      </c>
      <c r="V5" s="1">
        <f t="shared" ref="V4:V18" si="1">SUMPRODUCT(B6:I6,$M$4:$T$4)</f>
        <v>20</v>
      </c>
      <c r="W5" s="54" t="s">
        <v>50</v>
      </c>
      <c r="X5" s="2"/>
      <c r="Y5" s="2"/>
    </row>
    <row r="6" spans="1:25">
      <c r="A6" s="13" t="s">
        <v>35</v>
      </c>
      <c r="B6" s="2">
        <f t="shared" ref="B6:I19" si="2">B5+1</f>
        <v>2</v>
      </c>
      <c r="C6" s="2">
        <f t="shared" si="2"/>
        <v>3</v>
      </c>
      <c r="D6" s="2">
        <f t="shared" si="2"/>
        <v>4</v>
      </c>
      <c r="E6" s="2">
        <f t="shared" si="2"/>
        <v>5</v>
      </c>
      <c r="F6" s="2">
        <f t="shared" si="2"/>
        <v>6</v>
      </c>
      <c r="G6" s="2">
        <f t="shared" si="2"/>
        <v>7</v>
      </c>
      <c r="H6" s="2">
        <f t="shared" si="2"/>
        <v>8</v>
      </c>
      <c r="I6" s="2">
        <f t="shared" si="2"/>
        <v>9</v>
      </c>
      <c r="V6" s="1">
        <f t="shared" si="1"/>
        <v>24</v>
      </c>
      <c r="W6" s="54" t="s">
        <v>51</v>
      </c>
      <c r="X6" s="2"/>
      <c r="Y6" s="2"/>
    </row>
    <row r="7" spans="1:25">
      <c r="A7" s="13" t="s">
        <v>36</v>
      </c>
      <c r="B7" s="2">
        <f t="shared" si="2"/>
        <v>3</v>
      </c>
      <c r="C7" s="2">
        <f t="shared" si="2"/>
        <v>4</v>
      </c>
      <c r="D7" s="2">
        <f t="shared" si="2"/>
        <v>5</v>
      </c>
      <c r="E7" s="2">
        <f t="shared" si="2"/>
        <v>6</v>
      </c>
      <c r="F7" s="2">
        <f t="shared" si="2"/>
        <v>7</v>
      </c>
      <c r="G7" s="2">
        <f t="shared" si="2"/>
        <v>8</v>
      </c>
      <c r="H7" s="2">
        <f t="shared" si="2"/>
        <v>9</v>
      </c>
      <c r="I7" s="2">
        <f t="shared" si="2"/>
        <v>10</v>
      </c>
      <c r="V7" s="1">
        <f t="shared" si="1"/>
        <v>28</v>
      </c>
      <c r="W7" s="54" t="s">
        <v>52</v>
      </c>
      <c r="X7" s="2"/>
      <c r="Y7" s="2"/>
    </row>
    <row r="8" spans="1:25">
      <c r="A8" s="13" t="s">
        <v>37</v>
      </c>
      <c r="B8" s="2">
        <f t="shared" si="2"/>
        <v>4</v>
      </c>
      <c r="C8" s="2">
        <f t="shared" si="2"/>
        <v>5</v>
      </c>
      <c r="D8" s="2">
        <f t="shared" si="2"/>
        <v>6</v>
      </c>
      <c r="E8" s="2">
        <f t="shared" si="2"/>
        <v>7</v>
      </c>
      <c r="F8" s="2">
        <f t="shared" si="2"/>
        <v>8</v>
      </c>
      <c r="G8" s="2">
        <f t="shared" si="2"/>
        <v>9</v>
      </c>
      <c r="H8" s="2">
        <f t="shared" si="2"/>
        <v>10</v>
      </c>
      <c r="I8" s="2">
        <f t="shared" si="2"/>
        <v>11</v>
      </c>
      <c r="V8" s="1">
        <f t="shared" si="1"/>
        <v>32</v>
      </c>
      <c r="W8" s="54" t="s">
        <v>53</v>
      </c>
      <c r="X8" s="2"/>
      <c r="Y8" s="2"/>
    </row>
    <row r="9" spans="1:25">
      <c r="A9" s="13" t="s">
        <v>38</v>
      </c>
      <c r="B9" s="2">
        <f t="shared" si="2"/>
        <v>5</v>
      </c>
      <c r="C9" s="2">
        <f t="shared" si="2"/>
        <v>6</v>
      </c>
      <c r="D9" s="2">
        <f t="shared" si="2"/>
        <v>7</v>
      </c>
      <c r="E9" s="2">
        <f t="shared" si="2"/>
        <v>8</v>
      </c>
      <c r="F9" s="2">
        <f t="shared" si="2"/>
        <v>9</v>
      </c>
      <c r="G9" s="2">
        <f t="shared" si="2"/>
        <v>10</v>
      </c>
      <c r="H9" s="2">
        <f t="shared" si="2"/>
        <v>11</v>
      </c>
      <c r="I9" s="2">
        <f t="shared" si="2"/>
        <v>12</v>
      </c>
      <c r="V9" s="1">
        <f t="shared" si="1"/>
        <v>36</v>
      </c>
      <c r="W9" s="54" t="s">
        <v>54</v>
      </c>
      <c r="X9" s="2"/>
      <c r="Y9" s="2"/>
    </row>
    <row r="10" spans="1:25">
      <c r="A10" s="13" t="s">
        <v>39</v>
      </c>
      <c r="B10" s="2">
        <f t="shared" si="2"/>
        <v>6</v>
      </c>
      <c r="C10" s="2">
        <f t="shared" si="2"/>
        <v>7</v>
      </c>
      <c r="D10" s="2">
        <f t="shared" si="2"/>
        <v>8</v>
      </c>
      <c r="E10" s="2">
        <f t="shared" si="2"/>
        <v>9</v>
      </c>
      <c r="F10" s="2">
        <f t="shared" si="2"/>
        <v>10</v>
      </c>
      <c r="G10" s="2">
        <f t="shared" si="2"/>
        <v>11</v>
      </c>
      <c r="H10" s="2">
        <f t="shared" si="2"/>
        <v>12</v>
      </c>
      <c r="I10" s="2">
        <f t="shared" si="2"/>
        <v>13</v>
      </c>
      <c r="V10" s="1">
        <f t="shared" si="1"/>
        <v>40</v>
      </c>
      <c r="W10" s="54" t="s">
        <v>55</v>
      </c>
      <c r="X10" s="2"/>
      <c r="Y10" s="2"/>
    </row>
    <row r="11" spans="1:25">
      <c r="A11" s="13" t="s">
        <v>40</v>
      </c>
      <c r="B11" s="2">
        <f t="shared" si="2"/>
        <v>7</v>
      </c>
      <c r="C11" s="2">
        <f t="shared" si="2"/>
        <v>8</v>
      </c>
      <c r="D11" s="2">
        <f t="shared" si="2"/>
        <v>9</v>
      </c>
      <c r="E11" s="2">
        <f t="shared" si="2"/>
        <v>10</v>
      </c>
      <c r="F11" s="2">
        <f t="shared" si="2"/>
        <v>11</v>
      </c>
      <c r="G11" s="2">
        <f t="shared" si="2"/>
        <v>12</v>
      </c>
      <c r="H11" s="2">
        <f t="shared" si="2"/>
        <v>13</v>
      </c>
      <c r="I11" s="2">
        <f t="shared" si="2"/>
        <v>14</v>
      </c>
      <c r="V11" s="1">
        <f t="shared" si="1"/>
        <v>44</v>
      </c>
      <c r="W11" s="54" t="s">
        <v>56</v>
      </c>
      <c r="X11" s="2"/>
      <c r="Y11" s="2"/>
    </row>
    <row r="12" spans="1:25">
      <c r="A12" s="13" t="s">
        <v>41</v>
      </c>
      <c r="B12" s="2">
        <f t="shared" si="2"/>
        <v>8</v>
      </c>
      <c r="C12" s="2">
        <f t="shared" si="2"/>
        <v>9</v>
      </c>
      <c r="D12" s="2">
        <f t="shared" si="2"/>
        <v>10</v>
      </c>
      <c r="E12" s="2">
        <f t="shared" si="2"/>
        <v>11</v>
      </c>
      <c r="F12" s="2">
        <f t="shared" si="2"/>
        <v>12</v>
      </c>
      <c r="G12" s="2">
        <f t="shared" si="2"/>
        <v>13</v>
      </c>
      <c r="H12" s="2">
        <f t="shared" si="2"/>
        <v>14</v>
      </c>
      <c r="I12" s="2">
        <f t="shared" si="2"/>
        <v>15</v>
      </c>
      <c r="V12" s="1">
        <f t="shared" si="1"/>
        <v>48</v>
      </c>
      <c r="W12" s="54" t="s">
        <v>57</v>
      </c>
      <c r="X12" s="2"/>
      <c r="Y12" s="2"/>
    </row>
    <row r="13" spans="1:25">
      <c r="A13" s="13" t="s">
        <v>42</v>
      </c>
      <c r="B13" s="2">
        <f t="shared" si="2"/>
        <v>9</v>
      </c>
      <c r="C13" s="2">
        <f t="shared" si="2"/>
        <v>10</v>
      </c>
      <c r="D13" s="2">
        <f t="shared" si="2"/>
        <v>11</v>
      </c>
      <c r="E13" s="2">
        <f t="shared" si="2"/>
        <v>12</v>
      </c>
      <c r="F13" s="2">
        <f t="shared" si="2"/>
        <v>13</v>
      </c>
      <c r="G13" s="2">
        <f t="shared" si="2"/>
        <v>14</v>
      </c>
      <c r="H13" s="2">
        <f t="shared" si="2"/>
        <v>15</v>
      </c>
      <c r="I13" s="2">
        <f t="shared" si="2"/>
        <v>16</v>
      </c>
      <c r="V13" s="1">
        <f t="shared" si="1"/>
        <v>52</v>
      </c>
      <c r="W13" s="54" t="s">
        <v>58</v>
      </c>
      <c r="X13" s="2"/>
      <c r="Y13" s="2"/>
    </row>
    <row r="14" spans="1:25">
      <c r="A14" s="13" t="s">
        <v>43</v>
      </c>
      <c r="B14" s="2">
        <f t="shared" si="2"/>
        <v>10</v>
      </c>
      <c r="C14" s="2">
        <f t="shared" si="2"/>
        <v>11</v>
      </c>
      <c r="D14" s="2">
        <f t="shared" si="2"/>
        <v>12</v>
      </c>
      <c r="E14" s="2">
        <f t="shared" si="2"/>
        <v>13</v>
      </c>
      <c r="F14" s="2">
        <f t="shared" si="2"/>
        <v>14</v>
      </c>
      <c r="G14" s="2">
        <f t="shared" si="2"/>
        <v>15</v>
      </c>
      <c r="H14" s="2">
        <f t="shared" si="2"/>
        <v>16</v>
      </c>
      <c r="I14" s="2">
        <f t="shared" si="2"/>
        <v>17</v>
      </c>
      <c r="V14" s="1">
        <f t="shared" si="1"/>
        <v>56</v>
      </c>
      <c r="W14" s="54" t="s">
        <v>59</v>
      </c>
      <c r="X14" s="2"/>
      <c r="Y14" s="2"/>
    </row>
    <row r="15" spans="1:25">
      <c r="A15" s="13" t="s">
        <v>44</v>
      </c>
      <c r="B15" s="2">
        <f t="shared" si="2"/>
        <v>11</v>
      </c>
      <c r="C15" s="2">
        <f t="shared" si="2"/>
        <v>12</v>
      </c>
      <c r="D15" s="2">
        <f t="shared" si="2"/>
        <v>13</v>
      </c>
      <c r="E15" s="2">
        <f t="shared" si="2"/>
        <v>14</v>
      </c>
      <c r="F15" s="2">
        <f t="shared" si="2"/>
        <v>15</v>
      </c>
      <c r="G15" s="2">
        <f t="shared" si="2"/>
        <v>16</v>
      </c>
      <c r="H15" s="2">
        <f t="shared" si="2"/>
        <v>17</v>
      </c>
      <c r="I15" s="2">
        <f t="shared" si="2"/>
        <v>18</v>
      </c>
      <c r="V15" s="1">
        <f t="shared" si="1"/>
        <v>60</v>
      </c>
      <c r="W15" s="54" t="s">
        <v>60</v>
      </c>
      <c r="X15" s="2"/>
      <c r="Y15" s="2"/>
    </row>
    <row r="16" spans="1:25">
      <c r="A16" s="13" t="s">
        <v>45</v>
      </c>
      <c r="B16" s="2">
        <f t="shared" si="2"/>
        <v>12</v>
      </c>
      <c r="C16" s="2">
        <f t="shared" si="2"/>
        <v>13</v>
      </c>
      <c r="D16" s="2">
        <f t="shared" si="2"/>
        <v>14</v>
      </c>
      <c r="E16" s="2">
        <f t="shared" si="2"/>
        <v>15</v>
      </c>
      <c r="F16" s="2">
        <f t="shared" si="2"/>
        <v>16</v>
      </c>
      <c r="G16" s="2">
        <f t="shared" si="2"/>
        <v>17</v>
      </c>
      <c r="H16" s="2">
        <f t="shared" si="2"/>
        <v>18</v>
      </c>
      <c r="I16" s="2">
        <f t="shared" si="2"/>
        <v>19</v>
      </c>
      <c r="V16" s="1">
        <f t="shared" si="1"/>
        <v>64</v>
      </c>
      <c r="W16" s="54" t="s">
        <v>61</v>
      </c>
      <c r="X16" s="2"/>
      <c r="Y16" s="2"/>
    </row>
    <row r="17" spans="1:25">
      <c r="A17" s="13" t="s">
        <v>46</v>
      </c>
      <c r="B17" s="2">
        <f t="shared" si="2"/>
        <v>13</v>
      </c>
      <c r="C17" s="2">
        <f t="shared" si="2"/>
        <v>14</v>
      </c>
      <c r="D17" s="2">
        <f t="shared" si="2"/>
        <v>15</v>
      </c>
      <c r="E17" s="2">
        <f t="shared" si="2"/>
        <v>16</v>
      </c>
      <c r="F17" s="2">
        <f t="shared" si="2"/>
        <v>17</v>
      </c>
      <c r="G17" s="2">
        <f t="shared" si="2"/>
        <v>18</v>
      </c>
      <c r="H17" s="2">
        <f t="shared" si="2"/>
        <v>19</v>
      </c>
      <c r="I17" s="2">
        <f t="shared" si="2"/>
        <v>20</v>
      </c>
      <c r="V17" s="1">
        <f t="shared" si="1"/>
        <v>68</v>
      </c>
      <c r="W17" s="54" t="s">
        <v>62</v>
      </c>
      <c r="X17" s="2"/>
      <c r="Y17" s="2"/>
    </row>
    <row r="18" spans="1:25">
      <c r="A18" s="13" t="s">
        <v>47</v>
      </c>
      <c r="B18" s="2">
        <f t="shared" si="2"/>
        <v>14</v>
      </c>
      <c r="C18" s="2">
        <f t="shared" si="2"/>
        <v>15</v>
      </c>
      <c r="D18" s="2">
        <f t="shared" si="2"/>
        <v>16</v>
      </c>
      <c r="E18" s="2">
        <f t="shared" si="2"/>
        <v>17</v>
      </c>
      <c r="F18" s="2">
        <f t="shared" si="2"/>
        <v>18</v>
      </c>
      <c r="G18" s="2">
        <f t="shared" si="2"/>
        <v>19</v>
      </c>
      <c r="H18" s="2">
        <f t="shared" si="2"/>
        <v>20</v>
      </c>
      <c r="I18" s="2">
        <f t="shared" si="2"/>
        <v>21</v>
      </c>
      <c r="V18" s="1">
        <f t="shared" si="1"/>
        <v>72</v>
      </c>
      <c r="W18" s="54" t="s">
        <v>63</v>
      </c>
    </row>
    <row r="19" spans="1:25">
      <c r="A19" s="13" t="s">
        <v>48</v>
      </c>
      <c r="B19" s="2">
        <f t="shared" si="2"/>
        <v>15</v>
      </c>
      <c r="C19" s="2">
        <f t="shared" si="2"/>
        <v>16</v>
      </c>
      <c r="D19" s="2">
        <f t="shared" si="2"/>
        <v>17</v>
      </c>
      <c r="E19" s="2">
        <f t="shared" si="2"/>
        <v>18</v>
      </c>
      <c r="F19" s="2">
        <f t="shared" si="2"/>
        <v>19</v>
      </c>
      <c r="G19" s="2">
        <f t="shared" si="2"/>
        <v>20</v>
      </c>
      <c r="H19" s="2">
        <f t="shared" si="2"/>
        <v>21</v>
      </c>
      <c r="I19" s="2">
        <f t="shared" si="2"/>
        <v>22</v>
      </c>
    </row>
    <row r="20" spans="1:25" ht="13.8" thickBot="1"/>
    <row r="21" spans="1:25">
      <c r="K21" s="3" t="s">
        <v>0</v>
      </c>
      <c r="M21" s="55">
        <f>1</f>
        <v>1</v>
      </c>
      <c r="N21" s="56">
        <v>0</v>
      </c>
      <c r="O21" s="56">
        <f>N21+1</f>
        <v>1</v>
      </c>
      <c r="P21" s="56">
        <v>0</v>
      </c>
      <c r="Q21" s="56">
        <f>P21+1</f>
        <v>1</v>
      </c>
      <c r="R21" s="56">
        <v>0</v>
      </c>
      <c r="S21" s="56">
        <f>R21+1</f>
        <v>1</v>
      </c>
      <c r="T21" s="57">
        <v>0</v>
      </c>
      <c r="V21" s="1">
        <f t="shared" ref="V21:V34" si="3">SUMPRODUCT(B5:I6, $M$21:$T$22)</f>
        <v>40</v>
      </c>
      <c r="W21" s="54" t="s">
        <v>49</v>
      </c>
    </row>
    <row r="22" spans="1:25" ht="13.8" thickBot="1">
      <c r="M22" s="61">
        <v>0</v>
      </c>
      <c r="N22" s="62">
        <f>M22+1</f>
        <v>1</v>
      </c>
      <c r="O22" s="62">
        <v>0</v>
      </c>
      <c r="P22" s="62">
        <f>O22+1</f>
        <v>1</v>
      </c>
      <c r="Q22" s="62">
        <v>0</v>
      </c>
      <c r="R22" s="62">
        <f>Q22+1</f>
        <v>1</v>
      </c>
      <c r="S22" s="62">
        <v>0</v>
      </c>
      <c r="T22" s="63">
        <f>S22+1</f>
        <v>1</v>
      </c>
      <c r="V22" s="1">
        <f t="shared" si="3"/>
        <v>48</v>
      </c>
      <c r="W22" s="54" t="s">
        <v>50</v>
      </c>
    </row>
    <row r="23" spans="1:25">
      <c r="V23" s="1">
        <f t="shared" si="3"/>
        <v>56</v>
      </c>
      <c r="W23" s="54" t="s">
        <v>51</v>
      </c>
    </row>
    <row r="24" spans="1:25">
      <c r="V24" s="1">
        <f t="shared" si="3"/>
        <v>64</v>
      </c>
      <c r="W24" s="54" t="s">
        <v>52</v>
      </c>
    </row>
    <row r="25" spans="1:25">
      <c r="V25" s="1">
        <f t="shared" si="3"/>
        <v>72</v>
      </c>
      <c r="W25" s="54" t="s">
        <v>53</v>
      </c>
    </row>
    <row r="26" spans="1:25">
      <c r="V26" s="1">
        <f t="shared" si="3"/>
        <v>80</v>
      </c>
      <c r="W26" s="54" t="s">
        <v>54</v>
      </c>
    </row>
    <row r="27" spans="1:25">
      <c r="V27" s="1">
        <f t="shared" si="3"/>
        <v>88</v>
      </c>
      <c r="W27" s="54" t="s">
        <v>55</v>
      </c>
    </row>
    <row r="28" spans="1:25">
      <c r="V28" s="1">
        <f t="shared" si="3"/>
        <v>96</v>
      </c>
      <c r="W28" s="54" t="s">
        <v>56</v>
      </c>
    </row>
    <row r="29" spans="1:25">
      <c r="V29" s="1">
        <f t="shared" si="3"/>
        <v>104</v>
      </c>
      <c r="W29" s="54" t="s">
        <v>57</v>
      </c>
    </row>
    <row r="30" spans="1:25">
      <c r="V30" s="1">
        <f t="shared" si="3"/>
        <v>112</v>
      </c>
      <c r="W30" s="54" t="s">
        <v>58</v>
      </c>
    </row>
    <row r="31" spans="1:25">
      <c r="V31" s="1">
        <f t="shared" si="3"/>
        <v>120</v>
      </c>
      <c r="W31" s="54" t="s">
        <v>59</v>
      </c>
    </row>
    <row r="32" spans="1:25">
      <c r="V32" s="1">
        <f t="shared" si="3"/>
        <v>128</v>
      </c>
      <c r="W32" s="54" t="s">
        <v>60</v>
      </c>
    </row>
    <row r="33" spans="11:23">
      <c r="V33" s="1">
        <f t="shared" si="3"/>
        <v>136</v>
      </c>
      <c r="W33" s="54" t="s">
        <v>61</v>
      </c>
    </row>
    <row r="34" spans="11:23">
      <c r="V34" s="1">
        <f t="shared" si="3"/>
        <v>144</v>
      </c>
      <c r="W34" s="54" t="s">
        <v>62</v>
      </c>
    </row>
    <row r="35" spans="11:23">
      <c r="W35" s="54"/>
    </row>
    <row r="36" spans="11:23" ht="13.8" thickBot="1"/>
    <row r="37" spans="11:23">
      <c r="K37" s="3" t="s">
        <v>0</v>
      </c>
      <c r="M37" s="55">
        <f>1</f>
        <v>1</v>
      </c>
      <c r="N37" s="56">
        <v>0</v>
      </c>
      <c r="O37" s="56">
        <f>N37+1</f>
        <v>1</v>
      </c>
      <c r="P37" s="56">
        <v>0</v>
      </c>
      <c r="Q37" s="56">
        <f>P37+1</f>
        <v>1</v>
      </c>
      <c r="R37" s="56">
        <v>0</v>
      </c>
      <c r="S37" s="56">
        <f>R37+1</f>
        <v>1</v>
      </c>
      <c r="T37" s="57">
        <v>0</v>
      </c>
      <c r="V37">
        <f>SUMPRODUCT(B5:I7, $M$37:$T$39)</f>
        <v>64</v>
      </c>
      <c r="W37" s="54" t="s">
        <v>49</v>
      </c>
    </row>
    <row r="38" spans="11:23">
      <c r="M38" s="58">
        <v>0</v>
      </c>
      <c r="N38" s="59">
        <f>M38+1</f>
        <v>1</v>
      </c>
      <c r="O38" s="59">
        <v>0</v>
      </c>
      <c r="P38" s="59">
        <f>O38+1</f>
        <v>1</v>
      </c>
      <c r="Q38" s="59">
        <v>0</v>
      </c>
      <c r="R38" s="59">
        <f>Q38+1</f>
        <v>1</v>
      </c>
      <c r="S38" s="59">
        <v>0</v>
      </c>
      <c r="T38" s="60">
        <f>S38+1</f>
        <v>1</v>
      </c>
      <c r="V38">
        <f t="shared" ref="V38:V42" si="4">SUMPRODUCT(B6:I8, $M$37:$T$39)</f>
        <v>76</v>
      </c>
      <c r="W38" s="54" t="s">
        <v>50</v>
      </c>
    </row>
    <row r="39" spans="11:23" ht="13.8" thickBot="1">
      <c r="M39" s="61">
        <f>1</f>
        <v>1</v>
      </c>
      <c r="N39" s="62">
        <v>0</v>
      </c>
      <c r="O39" s="62">
        <f>N39+1</f>
        <v>1</v>
      </c>
      <c r="P39" s="62">
        <v>0</v>
      </c>
      <c r="Q39" s="62">
        <f>P39+1</f>
        <v>1</v>
      </c>
      <c r="R39" s="62">
        <v>0</v>
      </c>
      <c r="S39" s="62">
        <f>R39+1</f>
        <v>1</v>
      </c>
      <c r="T39" s="63">
        <v>0</v>
      </c>
      <c r="V39">
        <f t="shared" si="4"/>
        <v>88</v>
      </c>
      <c r="W39" s="54" t="s">
        <v>51</v>
      </c>
    </row>
    <row r="40" spans="11:23">
      <c r="V40">
        <f t="shared" si="4"/>
        <v>100</v>
      </c>
      <c r="W40" s="54" t="s">
        <v>52</v>
      </c>
    </row>
    <row r="41" spans="11:23">
      <c r="V41">
        <f t="shared" si="4"/>
        <v>112</v>
      </c>
      <c r="W41" s="54" t="s">
        <v>53</v>
      </c>
    </row>
    <row r="42" spans="11:23">
      <c r="V42">
        <f t="shared" si="4"/>
        <v>124</v>
      </c>
      <c r="W42" s="54" t="s">
        <v>54</v>
      </c>
    </row>
    <row r="43" spans="11:23">
      <c r="V43">
        <f>SUMPRODUCT(B11:I13, $M$37:$T$39)</f>
        <v>136</v>
      </c>
      <c r="W43" s="54" t="s">
        <v>55</v>
      </c>
    </row>
    <row r="44" spans="11:23">
      <c r="V44">
        <f t="shared" ref="V44:V46" si="5">SUMPRODUCT(B12:I14, $M$37:$T$39)</f>
        <v>148</v>
      </c>
      <c r="W44" s="54" t="s">
        <v>56</v>
      </c>
    </row>
    <row r="45" spans="11:23">
      <c r="V45">
        <f t="shared" si="5"/>
        <v>160</v>
      </c>
      <c r="W45" s="54" t="s">
        <v>57</v>
      </c>
    </row>
    <row r="46" spans="11:23">
      <c r="V46">
        <f t="shared" si="5"/>
        <v>172</v>
      </c>
      <c r="W46" s="54" t="s">
        <v>58</v>
      </c>
    </row>
    <row r="47" spans="11:23">
      <c r="V47">
        <f>SUMPRODUCT(B15:I17, $M$37:$T$39)</f>
        <v>184</v>
      </c>
      <c r="W47" s="54" t="s">
        <v>59</v>
      </c>
    </row>
    <row r="48" spans="11:23">
      <c r="V48">
        <f t="shared" ref="V48" si="6">SUMPRODUCT(B16:I18, $M$37:$T$39)</f>
        <v>196</v>
      </c>
      <c r="W48" s="54" t="s">
        <v>60</v>
      </c>
    </row>
    <row r="49" spans="22:23">
      <c r="V49">
        <f>SUMPRODUCT(B17:I19, $M$37:$T$39)</f>
        <v>208</v>
      </c>
      <c r="W49" s="54" t="s">
        <v>61</v>
      </c>
    </row>
    <row r="50" spans="22:23">
      <c r="W50" s="54"/>
    </row>
  </sheetData>
  <phoneticPr fontId="3" type="noConversion"/>
  <conditionalFormatting sqref="B5:I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:V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7:V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convolution</vt:lpstr>
      <vt:lpstr>cnn_kernel</vt:lpstr>
      <vt:lpstr>cnn_hole_detector</vt:lpstr>
      <vt:lpstr>1D Convolution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ancestor9</dc:creator>
  <cp:lastModifiedBy>Sanggoo Cho</cp:lastModifiedBy>
  <dcterms:created xsi:type="dcterms:W3CDTF">2026-06-08T12:38:31Z</dcterms:created>
  <dcterms:modified xsi:type="dcterms:W3CDTF">2026-09-17T04:20:33Z</dcterms:modified>
</cp:coreProperties>
</file>