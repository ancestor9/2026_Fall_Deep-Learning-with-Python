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B3B820FA-4D27-49FB-AE55-A6DE2E6A0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8" i="1" l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65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I46" i="1"/>
  <c r="I47" i="1"/>
  <c r="I48" i="1"/>
  <c r="I49" i="1"/>
  <c r="I50" i="1"/>
  <c r="I51" i="1"/>
  <c r="I52" i="1"/>
  <c r="I53" i="1"/>
  <c r="I54" i="1"/>
  <c r="I55" i="1"/>
  <c r="I56" i="1"/>
  <c r="I57" i="1"/>
  <c r="I45" i="1"/>
  <c r="E37" i="1" l="1"/>
  <c r="E25" i="1"/>
  <c r="E26" i="1"/>
  <c r="E27" i="1"/>
  <c r="E28" i="1"/>
  <c r="E29" i="1"/>
  <c r="E30" i="1"/>
  <c r="E31" i="1"/>
  <c r="E32" i="1"/>
  <c r="E33" i="1"/>
  <c r="E34" i="1"/>
  <c r="E35" i="1"/>
  <c r="E36" i="1"/>
  <c r="E24" i="1"/>
  <c r="E12" i="1" l="1"/>
  <c r="E13" i="1"/>
  <c r="E14" i="1"/>
  <c r="E15" i="1"/>
  <c r="F15" i="1" s="1"/>
  <c r="E16" i="1"/>
  <c r="E17" i="1"/>
  <c r="F17" i="1" s="1"/>
  <c r="E11" i="1"/>
  <c r="D17" i="1"/>
  <c r="D10" i="1"/>
  <c r="F13" i="1" l="1"/>
  <c r="F14" i="1"/>
  <c r="F12" i="1"/>
  <c r="F16" i="1"/>
</calcChain>
</file>

<file path=xl/sharedStrings.xml><?xml version="1.0" encoding="utf-8"?>
<sst xmlns="http://schemas.openxmlformats.org/spreadsheetml/2006/main" count="54" uniqueCount="32">
  <si>
    <r>
      <t>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돋움"/>
        <family val="3"/>
        <charset val="129"/>
      </rPr>
      <t>주차</t>
    </r>
    <phoneticPr fontId="1" type="noConversion"/>
  </si>
  <si>
    <r>
      <t>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돋움"/>
        <family val="3"/>
        <charset val="129"/>
      </rPr>
      <t>주차</t>
    </r>
    <phoneticPr fontId="1" type="noConversion"/>
  </si>
  <si>
    <t>7-days
moving average</t>
    <phoneticPr fontId="1" type="noConversion"/>
  </si>
  <si>
    <t>평균기온</t>
    <phoneticPr fontId="1" type="noConversion"/>
  </si>
  <si>
    <t>일자</t>
    <phoneticPr fontId="1" type="noConversion"/>
  </si>
  <si>
    <r>
      <rPr>
        <sz val="11"/>
        <color theme="1"/>
        <rFont val="돋움"/>
        <family val="3"/>
        <charset val="129"/>
      </rPr>
      <t>주간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평균</t>
    </r>
    <phoneticPr fontId="1" type="noConversion"/>
  </si>
  <si>
    <t>% change</t>
    <phoneticPr fontId="1" type="noConversion"/>
  </si>
  <si>
    <t>Time series data</t>
    <phoneticPr fontId="1" type="noConversion"/>
  </si>
  <si>
    <t>1. moving average(7 days)</t>
    <phoneticPr fontId="1" type="noConversion"/>
  </si>
  <si>
    <t>2. Supervised learning (transform time series to a supervised learning)</t>
    <phoneticPr fontId="1" type="noConversion"/>
  </si>
  <si>
    <t>time</t>
    <phoneticPr fontId="1" type="noConversion"/>
  </si>
  <si>
    <t>temperatures</t>
    <phoneticPr fontId="1" type="noConversion"/>
  </si>
  <si>
    <t>x</t>
    <phoneticPr fontId="1" type="noConversion"/>
  </si>
  <si>
    <t>y</t>
    <phoneticPr fontId="1" type="noConversion"/>
  </si>
  <si>
    <t>?</t>
    <phoneticPr fontId="1" type="noConversion"/>
  </si>
  <si>
    <t>x1</t>
    <phoneticPr fontId="1" type="noConversion"/>
  </si>
  <si>
    <t>y1</t>
    <phoneticPr fontId="1" type="noConversion"/>
  </si>
  <si>
    <t>y2</t>
    <phoneticPr fontId="1" type="noConversion"/>
  </si>
  <si>
    <t>sliding window with one -step</t>
    <phoneticPr fontId="1" type="noConversion"/>
  </si>
  <si>
    <t>sliding window with multiple -step</t>
    <phoneticPr fontId="1" type="noConversion"/>
  </si>
  <si>
    <t>Nan</t>
    <phoneticPr fontId="1" type="noConversion"/>
  </si>
  <si>
    <t>Nan</t>
    <phoneticPr fontId="1" type="noConversion"/>
  </si>
  <si>
    <t>rainfalls</t>
    <phoneticPr fontId="1" type="noConversion"/>
  </si>
  <si>
    <t>sliding window with multiple variates (Multivariates Time series)</t>
    <phoneticPr fontId="1" type="noConversion"/>
  </si>
  <si>
    <t>x2</t>
    <phoneticPr fontId="1" type="noConversion"/>
  </si>
  <si>
    <t>x3</t>
    <phoneticPr fontId="1" type="noConversion"/>
  </si>
  <si>
    <t>Training</t>
    <phoneticPr fontId="1" type="noConversion"/>
  </si>
  <si>
    <t xml:space="preserve">Training </t>
    <phoneticPr fontId="1" type="noConversion"/>
  </si>
  <si>
    <t>sliding window with multiple variates (Multivariates Time series) + Multiple Output</t>
    <phoneticPr fontId="1" type="noConversion"/>
  </si>
  <si>
    <r>
      <t>y1(9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>27</t>
    </r>
    <r>
      <rPr>
        <sz val="11"/>
        <color theme="1"/>
        <rFont val="돋움"/>
        <family val="3"/>
        <charset val="129"/>
      </rPr>
      <t>일</t>
    </r>
    <r>
      <rPr>
        <sz val="11"/>
        <color theme="1"/>
        <rFont val="Arial"/>
        <family val="2"/>
      </rPr>
      <t>)</t>
    </r>
    <phoneticPr fontId="1" type="noConversion"/>
  </si>
  <si>
    <r>
      <t>y2(9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>28</t>
    </r>
    <r>
      <rPr>
        <sz val="11"/>
        <color theme="1"/>
        <rFont val="돋움"/>
        <family val="3"/>
        <charset val="129"/>
      </rPr>
      <t>일</t>
    </r>
    <r>
      <rPr>
        <sz val="11"/>
        <color theme="1"/>
        <rFont val="Arial"/>
        <family val="2"/>
      </rPr>
      <t>)</t>
    </r>
    <phoneticPr fontId="1" type="noConversion"/>
  </si>
  <si>
    <t>training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</si>
</sst>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2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7" fontId="2" fillId="0" borderId="1" xfId="0" applyNumberFormat="1" applyFont="1" applyBorder="1">
      <alignment vertical="center"/>
    </xf>
    <xf numFmtId="2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2" fontId="2" fillId="2" borderId="0" xfId="0" applyNumberFormat="1" applyFont="1" applyFill="1">
      <alignment vertical="center"/>
    </xf>
    <xf numFmtId="2" fontId="2" fillId="2" borderId="1" xfId="0" applyNumberFormat="1" applyFont="1" applyFill="1" applyBorder="1">
      <alignment vertical="center"/>
    </xf>
    <xf numFmtId="176" fontId="2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" fontId="2" fillId="3" borderId="0" xfId="0" applyNumberFormat="1" applyFont="1" applyFill="1">
      <alignment vertical="center"/>
    </xf>
    <xf numFmtId="2" fontId="2" fillId="3" borderId="1" xfId="0" applyNumberFormat="1" applyFont="1" applyFill="1" applyBorder="1">
      <alignment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6" fillId="0" borderId="0" xfId="0" applyFont="1">
      <alignment vertical="center"/>
    </xf>
    <xf numFmtId="0" fontId="2" fillId="6" borderId="0" xfId="0" applyFont="1" applyFill="1" applyAlignment="1">
      <alignment horizontal="right" vertical="center"/>
    </xf>
    <xf numFmtId="2" fontId="2" fillId="3" borderId="5" xfId="0" applyNumberFormat="1" applyFont="1" applyFill="1" applyBorder="1" applyAlignment="1">
      <alignment horizontal="right" vertical="center"/>
    </xf>
    <xf numFmtId="2" fontId="2" fillId="3" borderId="6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2" fontId="2" fillId="3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2" fontId="2" fillId="3" borderId="10" xfId="0" applyNumberFormat="1" applyFont="1" applyFill="1" applyBorder="1" applyAlignment="1">
      <alignment horizontal="right" vertical="center"/>
    </xf>
    <xf numFmtId="2" fontId="2" fillId="3" borderId="11" xfId="0" applyNumberFormat="1" applyFont="1" applyFill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2" fontId="2" fillId="0" borderId="8" xfId="0" applyNumberFormat="1" applyFont="1" applyBorder="1" applyAlignment="1">
      <alignment horizontal="right" vertical="center"/>
    </xf>
    <xf numFmtId="2" fontId="2" fillId="0" borderId="10" xfId="0" applyNumberFormat="1" applyFont="1" applyBorder="1" applyAlignment="1">
      <alignment horizontal="right" vertical="center"/>
    </xf>
    <xf numFmtId="2" fontId="2" fillId="3" borderId="7" xfId="0" applyNumberFormat="1" applyFont="1" applyFill="1" applyBorder="1" applyAlignment="1">
      <alignment horizontal="right" vertical="center"/>
    </xf>
    <xf numFmtId="2" fontId="2" fillId="3" borderId="9" xfId="0" applyNumberFormat="1" applyFont="1" applyFill="1" applyBorder="1" applyAlignment="1">
      <alignment horizontal="right" vertical="center"/>
    </xf>
    <xf numFmtId="2" fontId="2" fillId="3" borderId="12" xfId="0" applyNumberFormat="1" applyFont="1" applyFill="1" applyBorder="1" applyAlignment="1">
      <alignment horizontal="right" vertical="center"/>
    </xf>
    <xf numFmtId="2" fontId="2" fillId="3" borderId="13" xfId="0" applyNumberFormat="1" applyFont="1" applyFill="1" applyBorder="1" applyAlignment="1">
      <alignment horizontal="right" vertical="center"/>
    </xf>
    <xf numFmtId="0" fontId="2" fillId="5" borderId="14" xfId="0" applyFont="1" applyFill="1" applyBorder="1" applyAlignment="1">
      <alignment horizontal="right" vertical="center"/>
    </xf>
    <xf numFmtId="2" fontId="2" fillId="3" borderId="14" xfId="0" applyNumberFormat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2" fontId="2" fillId="3" borderId="17" xfId="0" applyNumberFormat="1" applyFont="1" applyFill="1" applyBorder="1" applyAlignment="1">
      <alignment horizontal="right" vertical="center"/>
    </xf>
    <xf numFmtId="2" fontId="2" fillId="3" borderId="19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일기준 일일 기온 이동평균선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Sheet1!$E$11:$E$17</c:f>
              <c:numCache>
                <c:formatCode>0.00</c:formatCode>
                <c:ptCount val="7"/>
                <c:pt idx="0">
                  <c:v>21.757142857142856</c:v>
                </c:pt>
                <c:pt idx="1">
                  <c:v>21.499999999999996</c:v>
                </c:pt>
                <c:pt idx="2">
                  <c:v>21.185714285714283</c:v>
                </c:pt>
                <c:pt idx="3">
                  <c:v>20.785714285714285</c:v>
                </c:pt>
                <c:pt idx="4">
                  <c:v>20.314285714285717</c:v>
                </c:pt>
                <c:pt idx="5">
                  <c:v>20.214285714285715</c:v>
                </c:pt>
                <c:pt idx="6">
                  <c:v>20.014285714285712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9-4323-AC6D-AC375C49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890464"/>
        <c:axId val="1011891552"/>
      </c:lineChart>
      <c:catAx>
        <c:axId val="101189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891552"/>
        <c:crosses val="autoZero"/>
        <c:auto val="1"/>
        <c:lblAlgn val="ctr"/>
        <c:lblOffset val="100"/>
        <c:noMultiLvlLbl val="0"/>
      </c:catAx>
      <c:valAx>
        <c:axId val="10118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8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3</xdr:row>
      <xdr:rowOff>28575</xdr:rowOff>
    </xdr:from>
    <xdr:to>
      <xdr:col>11</xdr:col>
      <xdr:colOff>552450</xdr:colOff>
      <xdr:row>14</xdr:row>
      <xdr:rowOff>85725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215153</xdr:colOff>
      <xdr:row>27</xdr:row>
      <xdr:rowOff>89648</xdr:rowOff>
    </xdr:from>
    <xdr:to>
      <xdr:col>3</xdr:col>
      <xdr:colOff>887506</xdr:colOff>
      <xdr:row>29</xdr:row>
      <xdr:rowOff>134471</xdr:rowOff>
    </xdr:to>
    <xdr:pic>
      <xdr:nvPicPr>
        <xdr:cNvPr id="3" name="그래픽 2" descr="조금 굽은 화살표">
          <a:extLst>
            <a:ext uri="{FF2B5EF4-FFF2-40B4-BE49-F238E27FC236}">
              <a16:creationId xmlns:a16="http://schemas.microsoft.com/office/drawing/2014/main" id="{EDDA894C-DC0C-0242-6EDF-C6BC9A10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07341" y="8704730"/>
          <a:ext cx="672353" cy="672353"/>
        </a:xfrm>
        <a:prstGeom prst="rect">
          <a:avLst/>
        </a:prstGeom>
      </xdr:spPr>
    </xdr:pic>
    <xdr:clientData/>
  </xdr:twoCellAnchor>
  <xdr:twoCellAnchor editAs="oneCell">
    <xdr:from>
      <xdr:col>4</xdr:col>
      <xdr:colOff>116541</xdr:colOff>
      <xdr:row>48</xdr:row>
      <xdr:rowOff>277906</xdr:rowOff>
    </xdr:from>
    <xdr:to>
      <xdr:col>4</xdr:col>
      <xdr:colOff>788894</xdr:colOff>
      <xdr:row>51</xdr:row>
      <xdr:rowOff>8965</xdr:rowOff>
    </xdr:to>
    <xdr:pic>
      <xdr:nvPicPr>
        <xdr:cNvPr id="4" name="그래픽 3" descr="조금 굽은 화살표">
          <a:extLst>
            <a:ext uri="{FF2B5EF4-FFF2-40B4-BE49-F238E27FC236}">
              <a16:creationId xmlns:a16="http://schemas.microsoft.com/office/drawing/2014/main" id="{FCE0D1CC-B7E2-4B28-98F8-6903CB4C9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630706" y="15482047"/>
          <a:ext cx="672353" cy="672353"/>
        </a:xfrm>
        <a:prstGeom prst="rect">
          <a:avLst/>
        </a:prstGeom>
      </xdr:spPr>
    </xdr:pic>
    <xdr:clientData/>
  </xdr:twoCellAnchor>
  <xdr:twoCellAnchor editAs="oneCell">
    <xdr:from>
      <xdr:col>3</xdr:col>
      <xdr:colOff>179293</xdr:colOff>
      <xdr:row>67</xdr:row>
      <xdr:rowOff>233083</xdr:rowOff>
    </xdr:from>
    <xdr:to>
      <xdr:col>3</xdr:col>
      <xdr:colOff>851646</xdr:colOff>
      <xdr:row>69</xdr:row>
      <xdr:rowOff>277907</xdr:rowOff>
    </xdr:to>
    <xdr:pic>
      <xdr:nvPicPr>
        <xdr:cNvPr id="6" name="그래픽 5" descr="조금 굽은 화살표">
          <a:extLst>
            <a:ext uri="{FF2B5EF4-FFF2-40B4-BE49-F238E27FC236}">
              <a16:creationId xmlns:a16="http://schemas.microsoft.com/office/drawing/2014/main" id="{F7EA6963-633F-452C-9BAA-EDE9351C3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71481" y="21398754"/>
          <a:ext cx="672353" cy="6723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8"/>
  <sheetViews>
    <sheetView showGridLines="0" tabSelected="1" topLeftCell="A61" zoomScale="85" workbookViewId="0">
      <selection activeCell="K68" sqref="K68"/>
    </sheetView>
  </sheetViews>
  <sheetFormatPr defaultColWidth="9" defaultRowHeight="24.75" customHeight="1" x14ac:dyDescent="0.4"/>
  <cols>
    <col min="1" max="1" width="9.59765625" style="1" bestFit="1" customWidth="1"/>
    <col min="2" max="2" width="9.69921875" style="1" bestFit="1" customWidth="1"/>
    <col min="3" max="4" width="13.3984375" style="1" customWidth="1"/>
    <col min="5" max="5" width="13.5" style="1" customWidth="1"/>
    <col min="6" max="6" width="11.5" style="1" customWidth="1"/>
    <col min="7" max="7" width="12" style="1" customWidth="1"/>
    <col min="8" max="9" width="11.8984375" style="1" customWidth="1"/>
    <col min="10" max="10" width="10" style="1" customWidth="1"/>
    <col min="11" max="12" width="14.59765625" style="1" customWidth="1"/>
    <col min="13" max="15" width="9.8984375" style="1" customWidth="1"/>
    <col min="16" max="16384" width="9" style="1"/>
  </cols>
  <sheetData>
    <row r="1" spans="1:7" ht="36" customHeight="1" x14ac:dyDescent="0.4">
      <c r="A1" s="24" t="s">
        <v>7</v>
      </c>
    </row>
    <row r="2" spans="1:7" ht="24.75" customHeight="1" x14ac:dyDescent="0.4">
      <c r="A2" s="16" t="s">
        <v>8</v>
      </c>
    </row>
    <row r="3" spans="1:7" ht="24.75" customHeight="1" x14ac:dyDescent="0.4">
      <c r="A3" s="5"/>
      <c r="B3" s="8" t="s">
        <v>4</v>
      </c>
      <c r="C3" s="8" t="s">
        <v>3</v>
      </c>
      <c r="D3" s="2" t="s">
        <v>5</v>
      </c>
      <c r="E3" s="9" t="s">
        <v>2</v>
      </c>
      <c r="F3" s="10" t="s">
        <v>6</v>
      </c>
    </row>
    <row r="4" spans="1:7" ht="24.75" customHeight="1" x14ac:dyDescent="0.4">
      <c r="A4" s="1" t="s">
        <v>0</v>
      </c>
      <c r="B4" s="4">
        <v>44087</v>
      </c>
      <c r="C4" s="17">
        <v>21.5</v>
      </c>
      <c r="D4" s="3"/>
      <c r="E4" s="11"/>
      <c r="F4" s="11"/>
    </row>
    <row r="5" spans="1:7" ht="24.75" customHeight="1" x14ac:dyDescent="0.4">
      <c r="B5" s="4">
        <v>44088</v>
      </c>
      <c r="C5" s="17">
        <v>21.3</v>
      </c>
      <c r="D5" s="3"/>
      <c r="E5" s="12"/>
      <c r="F5" s="11"/>
    </row>
    <row r="6" spans="1:7" ht="24.75" customHeight="1" x14ac:dyDescent="0.4">
      <c r="B6" s="4">
        <v>44089</v>
      </c>
      <c r="C6" s="17">
        <v>23</v>
      </c>
      <c r="D6" s="3"/>
      <c r="E6" s="12"/>
      <c r="F6" s="11"/>
    </row>
    <row r="7" spans="1:7" ht="24.75" customHeight="1" x14ac:dyDescent="0.4">
      <c r="B7" s="4">
        <v>44090</v>
      </c>
      <c r="C7" s="17">
        <v>22.5</v>
      </c>
      <c r="D7" s="3"/>
      <c r="E7" s="12"/>
      <c r="F7" s="11"/>
    </row>
    <row r="8" spans="1:7" ht="24.75" customHeight="1" x14ac:dyDescent="0.4">
      <c r="B8" s="4">
        <v>44091</v>
      </c>
      <c r="C8" s="17">
        <v>21.3</v>
      </c>
      <c r="D8" s="3"/>
      <c r="E8" s="12"/>
      <c r="F8" s="11"/>
    </row>
    <row r="9" spans="1:7" ht="24.75" customHeight="1" x14ac:dyDescent="0.4">
      <c r="B9" s="4">
        <v>44092</v>
      </c>
      <c r="C9" s="17">
        <v>21.5</v>
      </c>
      <c r="D9" s="3"/>
      <c r="E9" s="12"/>
      <c r="F9" s="11"/>
      <c r="G9" s="3"/>
    </row>
    <row r="10" spans="1:7" ht="24.75" customHeight="1" x14ac:dyDescent="0.4">
      <c r="A10" s="5"/>
      <c r="B10" s="6">
        <v>44093</v>
      </c>
      <c r="C10" s="18">
        <v>21.2</v>
      </c>
      <c r="D10" s="7">
        <f>AVERAGE(C4:C10)</f>
        <v>21.757142857142856</v>
      </c>
      <c r="E10" s="13"/>
      <c r="F10" s="10"/>
      <c r="G10" s="3"/>
    </row>
    <row r="11" spans="1:7" ht="24.75" customHeight="1" x14ac:dyDescent="0.4">
      <c r="A11" s="1" t="s">
        <v>1</v>
      </c>
      <c r="B11" s="4">
        <v>44094</v>
      </c>
      <c r="C11" s="17">
        <v>19.7</v>
      </c>
      <c r="D11" s="3"/>
      <c r="E11" s="12">
        <f>AVERAGE(C4:C10)</f>
        <v>21.757142857142856</v>
      </c>
      <c r="F11" s="11"/>
      <c r="G11" s="3"/>
    </row>
    <row r="12" spans="1:7" ht="24.75" customHeight="1" x14ac:dyDescent="0.4">
      <c r="B12" s="4">
        <v>44095</v>
      </c>
      <c r="C12" s="17">
        <v>19.100000000000001</v>
      </c>
      <c r="D12" s="3"/>
      <c r="E12" s="12">
        <f t="shared" ref="E12:E17" si="0">AVERAGE(C5:C11)</f>
        <v>21.499999999999996</v>
      </c>
      <c r="F12" s="14">
        <f>E12/E11</f>
        <v>0.98818122127380159</v>
      </c>
      <c r="G12" s="3"/>
    </row>
    <row r="13" spans="1:7" ht="24.75" customHeight="1" x14ac:dyDescent="0.4">
      <c r="B13" s="4">
        <v>44096</v>
      </c>
      <c r="C13" s="17">
        <v>20.2</v>
      </c>
      <c r="D13" s="3"/>
      <c r="E13" s="12">
        <f t="shared" si="0"/>
        <v>21.185714285714283</v>
      </c>
      <c r="F13" s="14">
        <f>E13/E12</f>
        <v>0.98538205980066451</v>
      </c>
      <c r="G13" s="3"/>
    </row>
    <row r="14" spans="1:7" ht="24.75" customHeight="1" x14ac:dyDescent="0.4">
      <c r="B14" s="4">
        <v>44097</v>
      </c>
      <c r="C14" s="17">
        <v>19.2</v>
      </c>
      <c r="D14" s="3"/>
      <c r="E14" s="12">
        <f t="shared" si="0"/>
        <v>20.785714285714285</v>
      </c>
      <c r="F14" s="14">
        <f>E14/E13</f>
        <v>0.98111935266351991</v>
      </c>
    </row>
    <row r="15" spans="1:7" ht="24.75" customHeight="1" x14ac:dyDescent="0.4">
      <c r="B15" s="4">
        <v>44098</v>
      </c>
      <c r="C15" s="17">
        <v>20.6</v>
      </c>
      <c r="E15" s="12">
        <f t="shared" si="0"/>
        <v>20.314285714285717</v>
      </c>
      <c r="F15" s="14">
        <f>E15/E14</f>
        <v>0.97731958762886617</v>
      </c>
    </row>
    <row r="16" spans="1:7" ht="24.75" customHeight="1" x14ac:dyDescent="0.4">
      <c r="B16" s="4">
        <v>44099</v>
      </c>
      <c r="C16" s="17">
        <v>20.100000000000001</v>
      </c>
      <c r="E16" s="12">
        <f t="shared" si="0"/>
        <v>20.214285714285715</v>
      </c>
      <c r="F16" s="14">
        <f t="shared" ref="F16:F17" si="1">E16/E15</f>
        <v>0.99507735583684942</v>
      </c>
    </row>
    <row r="17" spans="1:7" ht="24.75" customHeight="1" x14ac:dyDescent="0.4">
      <c r="A17" s="5"/>
      <c r="B17" s="6">
        <v>44100</v>
      </c>
      <c r="C17" s="18">
        <v>19.2</v>
      </c>
      <c r="D17" s="7">
        <f>AVERAGE(C11:C17)</f>
        <v>19.728571428571428</v>
      </c>
      <c r="E17" s="13">
        <f t="shared" si="0"/>
        <v>20.014285714285712</v>
      </c>
      <c r="F17" s="14">
        <f t="shared" si="1"/>
        <v>0.99010600706713769</v>
      </c>
    </row>
    <row r="20" spans="1:7" ht="24.75" customHeight="1" x14ac:dyDescent="0.4">
      <c r="A20" s="16" t="s">
        <v>9</v>
      </c>
    </row>
    <row r="21" spans="1:7" ht="24.75" customHeight="1" x14ac:dyDescent="0.4">
      <c r="A21" s="16"/>
      <c r="E21" s="15" t="s">
        <v>18</v>
      </c>
      <c r="F21" s="15"/>
      <c r="G21" s="15"/>
    </row>
    <row r="22" spans="1:7" ht="24.75" customHeight="1" x14ac:dyDescent="0.4">
      <c r="B22" s="5" t="s">
        <v>10</v>
      </c>
      <c r="C22" s="5" t="s">
        <v>11</v>
      </c>
      <c r="E22" s="2" t="s">
        <v>12</v>
      </c>
      <c r="F22" s="2" t="s">
        <v>13</v>
      </c>
      <c r="G22" s="19"/>
    </row>
    <row r="23" spans="1:7" ht="24.75" customHeight="1" thickBot="1" x14ac:dyDescent="0.45">
      <c r="B23" s="4">
        <v>44087</v>
      </c>
      <c r="C23" s="17">
        <v>21.5</v>
      </c>
      <c r="E23" s="20" t="s">
        <v>20</v>
      </c>
      <c r="F23" s="21">
        <v>21.5</v>
      </c>
    </row>
    <row r="24" spans="1:7" ht="24.75" customHeight="1" x14ac:dyDescent="0.4">
      <c r="B24" s="4">
        <v>44088</v>
      </c>
      <c r="C24" s="17">
        <v>21.3</v>
      </c>
      <c r="E24" s="34">
        <f>F23</f>
        <v>21.5</v>
      </c>
      <c r="F24" s="27">
        <v>21.3</v>
      </c>
      <c r="G24" s="52" t="s">
        <v>26</v>
      </c>
    </row>
    <row r="25" spans="1:7" ht="24.75" customHeight="1" x14ac:dyDescent="0.4">
      <c r="B25" s="4">
        <v>44089</v>
      </c>
      <c r="C25" s="17">
        <v>23</v>
      </c>
      <c r="E25" s="35">
        <f t="shared" ref="E25:E36" si="2">F24</f>
        <v>21.3</v>
      </c>
      <c r="F25" s="21">
        <v>23</v>
      </c>
      <c r="G25" s="53"/>
    </row>
    <row r="26" spans="1:7" ht="24.75" customHeight="1" x14ac:dyDescent="0.4">
      <c r="B26" s="4">
        <v>44090</v>
      </c>
      <c r="C26" s="17">
        <v>22.5</v>
      </c>
      <c r="E26" s="35">
        <f t="shared" si="2"/>
        <v>23</v>
      </c>
      <c r="F26" s="21">
        <v>22.5</v>
      </c>
      <c r="G26" s="53"/>
    </row>
    <row r="27" spans="1:7" ht="24.75" customHeight="1" x14ac:dyDescent="0.4">
      <c r="B27" s="4">
        <v>44091</v>
      </c>
      <c r="C27" s="17">
        <v>21.3</v>
      </c>
      <c r="E27" s="35">
        <f t="shared" si="2"/>
        <v>22.5</v>
      </c>
      <c r="F27" s="21">
        <v>21.3</v>
      </c>
      <c r="G27" s="53"/>
    </row>
    <row r="28" spans="1:7" ht="24.75" customHeight="1" x14ac:dyDescent="0.4">
      <c r="B28" s="4">
        <v>44092</v>
      </c>
      <c r="C28" s="17">
        <v>21.5</v>
      </c>
      <c r="E28" s="35">
        <f t="shared" si="2"/>
        <v>21.3</v>
      </c>
      <c r="F28" s="21">
        <v>21.5</v>
      </c>
      <c r="G28" s="53"/>
    </row>
    <row r="29" spans="1:7" ht="24.75" customHeight="1" x14ac:dyDescent="0.4">
      <c r="B29" s="4">
        <v>44093</v>
      </c>
      <c r="C29" s="17">
        <v>21.2</v>
      </c>
      <c r="E29" s="35">
        <f t="shared" si="2"/>
        <v>21.5</v>
      </c>
      <c r="F29" s="21">
        <v>21.2</v>
      </c>
      <c r="G29" s="53"/>
    </row>
    <row r="30" spans="1:7" ht="24.75" customHeight="1" x14ac:dyDescent="0.4">
      <c r="B30" s="4">
        <v>44094</v>
      </c>
      <c r="C30" s="17">
        <v>19.7</v>
      </c>
      <c r="E30" s="35">
        <f t="shared" si="2"/>
        <v>21.2</v>
      </c>
      <c r="F30" s="21">
        <v>19.7</v>
      </c>
      <c r="G30" s="53"/>
    </row>
    <row r="31" spans="1:7" ht="24.75" customHeight="1" x14ac:dyDescent="0.4">
      <c r="B31" s="4">
        <v>44095</v>
      </c>
      <c r="C31" s="17">
        <v>19.100000000000001</v>
      </c>
      <c r="E31" s="35">
        <f t="shared" si="2"/>
        <v>19.7</v>
      </c>
      <c r="F31" s="21">
        <v>19.100000000000001</v>
      </c>
      <c r="G31" s="53"/>
    </row>
    <row r="32" spans="1:7" ht="24.75" customHeight="1" x14ac:dyDescent="0.4">
      <c r="B32" s="4">
        <v>44096</v>
      </c>
      <c r="C32" s="17">
        <v>20.2</v>
      </c>
      <c r="E32" s="35">
        <f t="shared" si="2"/>
        <v>19.100000000000001</v>
      </c>
      <c r="F32" s="21">
        <v>20.2</v>
      </c>
      <c r="G32" s="53"/>
    </row>
    <row r="33" spans="2:16" ht="24.75" customHeight="1" x14ac:dyDescent="0.4">
      <c r="B33" s="4">
        <v>44097</v>
      </c>
      <c r="C33" s="17">
        <v>19.2</v>
      </c>
      <c r="E33" s="35">
        <f t="shared" si="2"/>
        <v>20.2</v>
      </c>
      <c r="F33" s="21">
        <v>19.2</v>
      </c>
      <c r="G33" s="53"/>
    </row>
    <row r="34" spans="2:16" ht="24.75" customHeight="1" x14ac:dyDescent="0.4">
      <c r="B34" s="4">
        <v>44098</v>
      </c>
      <c r="C34" s="17">
        <v>20.6</v>
      </c>
      <c r="E34" s="35">
        <f t="shared" si="2"/>
        <v>19.2</v>
      </c>
      <c r="F34" s="21">
        <v>20.6</v>
      </c>
      <c r="G34" s="53"/>
    </row>
    <row r="35" spans="2:16" ht="24.75" customHeight="1" x14ac:dyDescent="0.4">
      <c r="B35" s="4">
        <v>44099</v>
      </c>
      <c r="C35" s="17">
        <v>20.100000000000001</v>
      </c>
      <c r="E35" s="35">
        <f t="shared" si="2"/>
        <v>20.6</v>
      </c>
      <c r="F35" s="21">
        <v>20.100000000000001</v>
      </c>
      <c r="G35" s="53"/>
    </row>
    <row r="36" spans="2:16" ht="24.75" customHeight="1" thickBot="1" x14ac:dyDescent="0.45">
      <c r="B36" s="4">
        <v>44100</v>
      </c>
      <c r="C36" s="17">
        <v>19.2</v>
      </c>
      <c r="E36" s="36">
        <f t="shared" si="2"/>
        <v>20.100000000000001</v>
      </c>
      <c r="F36" s="32">
        <v>19.2</v>
      </c>
      <c r="G36" s="54"/>
    </row>
    <row r="37" spans="2:16" ht="24.75" customHeight="1" x14ac:dyDescent="0.4">
      <c r="B37" s="4">
        <v>44831</v>
      </c>
      <c r="C37" s="22" t="s">
        <v>14</v>
      </c>
      <c r="E37" s="20">
        <f>F36</f>
        <v>19.2</v>
      </c>
      <c r="F37" s="22" t="s">
        <v>14</v>
      </c>
    </row>
    <row r="42" spans="2:16" ht="24.75" customHeight="1" x14ac:dyDescent="0.4">
      <c r="F42" s="15" t="s">
        <v>23</v>
      </c>
      <c r="L42" s="15" t="s">
        <v>28</v>
      </c>
    </row>
    <row r="43" spans="2:16" ht="24.75" customHeight="1" x14ac:dyDescent="0.4">
      <c r="B43" s="5" t="s">
        <v>10</v>
      </c>
      <c r="C43" s="2" t="s">
        <v>11</v>
      </c>
      <c r="D43" s="2" t="s">
        <v>22</v>
      </c>
      <c r="F43" s="2" t="s">
        <v>15</v>
      </c>
      <c r="G43" s="2" t="s">
        <v>24</v>
      </c>
      <c r="H43" s="2" t="s">
        <v>25</v>
      </c>
      <c r="I43" s="2" t="s">
        <v>16</v>
      </c>
      <c r="L43" s="2" t="s">
        <v>15</v>
      </c>
      <c r="M43" s="2" t="s">
        <v>24</v>
      </c>
      <c r="N43" s="2" t="s">
        <v>16</v>
      </c>
      <c r="O43" s="2" t="s">
        <v>17</v>
      </c>
    </row>
    <row r="44" spans="2:16" ht="24.75" customHeight="1" thickBot="1" x14ac:dyDescent="0.45">
      <c r="B44" s="4">
        <v>44087</v>
      </c>
      <c r="C44" s="21">
        <v>21.5</v>
      </c>
      <c r="D44" s="23">
        <v>88</v>
      </c>
      <c r="F44" s="19" t="s">
        <v>20</v>
      </c>
      <c r="G44" s="19" t="s">
        <v>21</v>
      </c>
      <c r="H44" s="21">
        <v>21.5</v>
      </c>
      <c r="I44" s="19">
        <v>88</v>
      </c>
      <c r="L44" s="19" t="s">
        <v>20</v>
      </c>
      <c r="M44" s="19" t="s">
        <v>21</v>
      </c>
      <c r="N44" s="21">
        <v>21.5</v>
      </c>
      <c r="O44" s="19">
        <v>88</v>
      </c>
    </row>
    <row r="45" spans="2:16" ht="24.75" customHeight="1" x14ac:dyDescent="0.4">
      <c r="B45" s="4">
        <v>44088</v>
      </c>
      <c r="C45" s="21">
        <v>21.3</v>
      </c>
      <c r="D45" s="23">
        <v>89</v>
      </c>
      <c r="F45" s="40">
        <v>21.5</v>
      </c>
      <c r="G45" s="41">
        <v>88</v>
      </c>
      <c r="H45" s="42">
        <v>21.3</v>
      </c>
      <c r="I45" s="43">
        <f>D45</f>
        <v>89</v>
      </c>
      <c r="J45" s="49" t="s">
        <v>27</v>
      </c>
      <c r="L45" s="26">
        <v>21.5</v>
      </c>
      <c r="M45" s="41">
        <v>88</v>
      </c>
      <c r="N45" s="27">
        <v>21.3</v>
      </c>
      <c r="O45" s="28" t="str">
        <f>J45</f>
        <v xml:space="preserve">Training </v>
      </c>
      <c r="P45" s="52" t="s">
        <v>27</v>
      </c>
    </row>
    <row r="46" spans="2:16" ht="24.75" customHeight="1" x14ac:dyDescent="0.4">
      <c r="B46" s="4">
        <v>44089</v>
      </c>
      <c r="C46" s="21">
        <v>23</v>
      </c>
      <c r="D46" s="23">
        <v>87</v>
      </c>
      <c r="F46" s="44">
        <v>21.3</v>
      </c>
      <c r="G46" s="23">
        <v>89</v>
      </c>
      <c r="H46" s="21">
        <v>23</v>
      </c>
      <c r="I46" s="30">
        <f t="shared" ref="I46:I57" si="3">D46</f>
        <v>87</v>
      </c>
      <c r="J46" s="50"/>
      <c r="L46" s="29">
        <v>21.3</v>
      </c>
      <c r="M46" s="23">
        <v>89</v>
      </c>
      <c r="N46" s="21">
        <v>23</v>
      </c>
      <c r="O46" s="30">
        <f t="shared" ref="O46:O57" si="4">J46</f>
        <v>0</v>
      </c>
      <c r="P46" s="53"/>
    </row>
    <row r="47" spans="2:16" ht="24.75" customHeight="1" x14ac:dyDescent="0.4">
      <c r="B47" s="4">
        <v>44090</v>
      </c>
      <c r="C47" s="21">
        <v>22.5</v>
      </c>
      <c r="D47" s="23">
        <v>88</v>
      </c>
      <c r="F47" s="44">
        <v>23</v>
      </c>
      <c r="G47" s="23">
        <v>87</v>
      </c>
      <c r="H47" s="21">
        <v>22.5</v>
      </c>
      <c r="I47" s="30">
        <f t="shared" si="3"/>
        <v>88</v>
      </c>
      <c r="J47" s="50"/>
      <c r="L47" s="29">
        <v>23</v>
      </c>
      <c r="M47" s="23">
        <v>87</v>
      </c>
      <c r="N47" s="21">
        <v>22.5</v>
      </c>
      <c r="O47" s="30">
        <f t="shared" si="4"/>
        <v>0</v>
      </c>
      <c r="P47" s="53"/>
    </row>
    <row r="48" spans="2:16" ht="24.75" customHeight="1" x14ac:dyDescent="0.4">
      <c r="B48" s="4">
        <v>44091</v>
      </c>
      <c r="C48" s="21">
        <v>21.3</v>
      </c>
      <c r="D48" s="23">
        <v>90</v>
      </c>
      <c r="F48" s="44">
        <v>22.5</v>
      </c>
      <c r="G48" s="23">
        <v>88</v>
      </c>
      <c r="H48" s="21">
        <v>21.3</v>
      </c>
      <c r="I48" s="30">
        <f t="shared" si="3"/>
        <v>90</v>
      </c>
      <c r="J48" s="50"/>
      <c r="L48" s="29">
        <v>22.5</v>
      </c>
      <c r="M48" s="23">
        <v>88</v>
      </c>
      <c r="N48" s="21">
        <v>21.3</v>
      </c>
      <c r="O48" s="30">
        <f t="shared" si="4"/>
        <v>0</v>
      </c>
      <c r="P48" s="53"/>
    </row>
    <row r="49" spans="2:16" ht="24.75" customHeight="1" x14ac:dyDescent="0.4">
      <c r="B49" s="4">
        <v>44092</v>
      </c>
      <c r="C49" s="21">
        <v>21.5</v>
      </c>
      <c r="D49" s="23">
        <v>87</v>
      </c>
      <c r="F49" s="44">
        <v>21.3</v>
      </c>
      <c r="G49" s="23">
        <v>90</v>
      </c>
      <c r="H49" s="21">
        <v>21.5</v>
      </c>
      <c r="I49" s="30">
        <f t="shared" si="3"/>
        <v>87</v>
      </c>
      <c r="J49" s="50"/>
      <c r="L49" s="29">
        <v>21.3</v>
      </c>
      <c r="M49" s="23">
        <v>90</v>
      </c>
      <c r="N49" s="21">
        <v>21.5</v>
      </c>
      <c r="O49" s="30">
        <f t="shared" si="4"/>
        <v>0</v>
      </c>
      <c r="P49" s="53"/>
    </row>
    <row r="50" spans="2:16" ht="24.75" customHeight="1" x14ac:dyDescent="0.4">
      <c r="B50" s="4">
        <v>44093</v>
      </c>
      <c r="C50" s="21">
        <v>21.2</v>
      </c>
      <c r="D50" s="23">
        <v>88</v>
      </c>
      <c r="F50" s="44">
        <v>21.5</v>
      </c>
      <c r="G50" s="23">
        <v>87</v>
      </c>
      <c r="H50" s="21">
        <v>21.2</v>
      </c>
      <c r="I50" s="30">
        <f t="shared" si="3"/>
        <v>88</v>
      </c>
      <c r="J50" s="50"/>
      <c r="L50" s="29">
        <v>21.5</v>
      </c>
      <c r="M50" s="23">
        <v>87</v>
      </c>
      <c r="N50" s="21">
        <v>21.2</v>
      </c>
      <c r="O50" s="30">
        <f t="shared" si="4"/>
        <v>0</v>
      </c>
      <c r="P50" s="53"/>
    </row>
    <row r="51" spans="2:16" ht="24.75" customHeight="1" x14ac:dyDescent="0.4">
      <c r="B51" s="4">
        <v>44094</v>
      </c>
      <c r="C51" s="21">
        <v>19.7</v>
      </c>
      <c r="D51" s="23">
        <v>90</v>
      </c>
      <c r="F51" s="44">
        <v>21.2</v>
      </c>
      <c r="G51" s="23">
        <v>88</v>
      </c>
      <c r="H51" s="21">
        <v>19.7</v>
      </c>
      <c r="I51" s="30">
        <f t="shared" si="3"/>
        <v>90</v>
      </c>
      <c r="J51" s="50"/>
      <c r="L51" s="29">
        <v>21.2</v>
      </c>
      <c r="M51" s="23">
        <v>88</v>
      </c>
      <c r="N51" s="21">
        <v>19.7</v>
      </c>
      <c r="O51" s="30">
        <f t="shared" si="4"/>
        <v>0</v>
      </c>
      <c r="P51" s="53"/>
    </row>
    <row r="52" spans="2:16" ht="24.75" customHeight="1" x14ac:dyDescent="0.4">
      <c r="B52" s="4">
        <v>44095</v>
      </c>
      <c r="C52" s="21">
        <v>19.100000000000001</v>
      </c>
      <c r="D52" s="23">
        <v>85</v>
      </c>
      <c r="F52" s="44">
        <v>19.7</v>
      </c>
      <c r="G52" s="23">
        <v>90</v>
      </c>
      <c r="H52" s="21">
        <v>19.100000000000001</v>
      </c>
      <c r="I52" s="30">
        <f t="shared" si="3"/>
        <v>85</v>
      </c>
      <c r="J52" s="50"/>
      <c r="L52" s="29">
        <v>19.7</v>
      </c>
      <c r="M52" s="23">
        <v>90</v>
      </c>
      <c r="N52" s="21">
        <v>19.100000000000001</v>
      </c>
      <c r="O52" s="30">
        <f t="shared" si="4"/>
        <v>0</v>
      </c>
      <c r="P52" s="53"/>
    </row>
    <row r="53" spans="2:16" ht="24.75" customHeight="1" x14ac:dyDescent="0.4">
      <c r="B53" s="4">
        <v>44096</v>
      </c>
      <c r="C53" s="21">
        <v>20.2</v>
      </c>
      <c r="D53" s="23">
        <v>86</v>
      </c>
      <c r="F53" s="44">
        <v>19.100000000000001</v>
      </c>
      <c r="G53" s="23">
        <v>85</v>
      </c>
      <c r="H53" s="21">
        <v>20.2</v>
      </c>
      <c r="I53" s="30">
        <f t="shared" si="3"/>
        <v>86</v>
      </c>
      <c r="J53" s="50"/>
      <c r="L53" s="29">
        <v>19.100000000000001</v>
      </c>
      <c r="M53" s="23">
        <v>85</v>
      </c>
      <c r="N53" s="21">
        <v>20.2</v>
      </c>
      <c r="O53" s="30">
        <f t="shared" si="4"/>
        <v>0</v>
      </c>
      <c r="P53" s="53"/>
    </row>
    <row r="54" spans="2:16" ht="24.75" customHeight="1" x14ac:dyDescent="0.4">
      <c r="B54" s="4">
        <v>44097</v>
      </c>
      <c r="C54" s="21">
        <v>19.2</v>
      </c>
      <c r="D54" s="23">
        <v>84</v>
      </c>
      <c r="F54" s="44">
        <v>20.2</v>
      </c>
      <c r="G54" s="23">
        <v>86</v>
      </c>
      <c r="H54" s="21">
        <v>19.2</v>
      </c>
      <c r="I54" s="30">
        <f t="shared" si="3"/>
        <v>84</v>
      </c>
      <c r="J54" s="50"/>
      <c r="L54" s="29">
        <v>20.2</v>
      </c>
      <c r="M54" s="23">
        <v>86</v>
      </c>
      <c r="N54" s="21">
        <v>19.2</v>
      </c>
      <c r="O54" s="30">
        <f t="shared" si="4"/>
        <v>0</v>
      </c>
      <c r="P54" s="53"/>
    </row>
    <row r="55" spans="2:16" ht="24.75" customHeight="1" x14ac:dyDescent="0.4">
      <c r="B55" s="4">
        <v>44098</v>
      </c>
      <c r="C55" s="21">
        <v>20.6</v>
      </c>
      <c r="D55" s="23">
        <v>88</v>
      </c>
      <c r="F55" s="44">
        <v>19.2</v>
      </c>
      <c r="G55" s="23">
        <v>84</v>
      </c>
      <c r="H55" s="21">
        <v>20.6</v>
      </c>
      <c r="I55" s="30">
        <f t="shared" si="3"/>
        <v>88</v>
      </c>
      <c r="J55" s="50"/>
      <c r="L55" s="29">
        <v>19.2</v>
      </c>
      <c r="M55" s="23">
        <v>84</v>
      </c>
      <c r="N55" s="21">
        <v>20.6</v>
      </c>
      <c r="O55" s="30">
        <f t="shared" si="4"/>
        <v>0</v>
      </c>
      <c r="P55" s="53"/>
    </row>
    <row r="56" spans="2:16" ht="24.75" customHeight="1" x14ac:dyDescent="0.4">
      <c r="B56" s="4">
        <v>44099</v>
      </c>
      <c r="C56" s="21">
        <v>20.100000000000001</v>
      </c>
      <c r="D56" s="23">
        <v>89</v>
      </c>
      <c r="F56" s="44">
        <v>20.6</v>
      </c>
      <c r="G56" s="23">
        <v>88</v>
      </c>
      <c r="H56" s="21">
        <v>20.100000000000001</v>
      </c>
      <c r="I56" s="30">
        <f t="shared" si="3"/>
        <v>89</v>
      </c>
      <c r="J56" s="50"/>
      <c r="L56" s="29">
        <v>20.6</v>
      </c>
      <c r="M56" s="23">
        <v>88</v>
      </c>
      <c r="N56" s="21">
        <v>20.100000000000001</v>
      </c>
      <c r="O56" s="30">
        <f t="shared" si="4"/>
        <v>0</v>
      </c>
      <c r="P56" s="53"/>
    </row>
    <row r="57" spans="2:16" ht="24.75" customHeight="1" thickBot="1" x14ac:dyDescent="0.45">
      <c r="B57" s="4">
        <v>44100</v>
      </c>
      <c r="C57" s="21">
        <v>19.2</v>
      </c>
      <c r="D57" s="23">
        <v>83</v>
      </c>
      <c r="F57" s="45">
        <v>20.100000000000001</v>
      </c>
      <c r="G57" s="46">
        <v>89</v>
      </c>
      <c r="H57" s="47">
        <v>19.2</v>
      </c>
      <c r="I57" s="48">
        <f t="shared" si="3"/>
        <v>83</v>
      </c>
      <c r="J57" s="51"/>
      <c r="L57" s="31">
        <v>20.100000000000001</v>
      </c>
      <c r="M57" s="46">
        <v>89</v>
      </c>
      <c r="N57" s="32">
        <v>19.2</v>
      </c>
      <c r="O57" s="33">
        <f t="shared" si="4"/>
        <v>0</v>
      </c>
      <c r="P57" s="54"/>
    </row>
    <row r="58" spans="2:16" ht="24.75" customHeight="1" x14ac:dyDescent="0.4">
      <c r="B58" s="4">
        <v>44831</v>
      </c>
      <c r="D58" s="22" t="s">
        <v>14</v>
      </c>
      <c r="F58" s="21">
        <v>19.2</v>
      </c>
      <c r="G58" s="23">
        <v>83</v>
      </c>
      <c r="H58" s="25" t="s">
        <v>14</v>
      </c>
      <c r="I58" s="22" t="s">
        <v>14</v>
      </c>
      <c r="L58" s="21">
        <v>19.2</v>
      </c>
      <c r="M58" s="23">
        <v>83</v>
      </c>
      <c r="N58" s="22" t="s">
        <v>14</v>
      </c>
      <c r="O58" s="22" t="s">
        <v>14</v>
      </c>
    </row>
    <row r="62" spans="2:16" ht="24.75" customHeight="1" x14ac:dyDescent="0.4">
      <c r="E62" s="15" t="s">
        <v>19</v>
      </c>
    </row>
    <row r="63" spans="2:16" ht="24.75" customHeight="1" x14ac:dyDescent="0.4">
      <c r="B63" s="5" t="s">
        <v>10</v>
      </c>
      <c r="C63" s="5" t="s">
        <v>11</v>
      </c>
      <c r="E63" s="2" t="s">
        <v>15</v>
      </c>
      <c r="F63" s="2" t="s">
        <v>29</v>
      </c>
      <c r="G63" s="2" t="s">
        <v>30</v>
      </c>
    </row>
    <row r="64" spans="2:16" ht="24.75" customHeight="1" thickBot="1" x14ac:dyDescent="0.45">
      <c r="B64" s="4">
        <v>44087</v>
      </c>
      <c r="C64" s="17">
        <v>21.5</v>
      </c>
      <c r="E64" s="19" t="s">
        <v>20</v>
      </c>
      <c r="F64" s="21">
        <v>21.5</v>
      </c>
      <c r="G64" s="21">
        <v>21.3</v>
      </c>
    </row>
    <row r="65" spans="2:8" ht="24.75" customHeight="1" x14ac:dyDescent="0.4">
      <c r="B65" s="4">
        <v>44088</v>
      </c>
      <c r="C65" s="17">
        <v>21.3</v>
      </c>
      <c r="E65" s="34">
        <f>C64</f>
        <v>21.5</v>
      </c>
      <c r="F65" s="27">
        <v>21.3</v>
      </c>
      <c r="G65" s="37">
        <v>23</v>
      </c>
      <c r="H65" s="52" t="s">
        <v>31</v>
      </c>
    </row>
    <row r="66" spans="2:8" ht="24.75" customHeight="1" x14ac:dyDescent="0.4">
      <c r="B66" s="4">
        <v>44089</v>
      </c>
      <c r="C66" s="17">
        <v>23</v>
      </c>
      <c r="E66" s="35">
        <f t="shared" ref="E66:E78" si="5">C65</f>
        <v>21.3</v>
      </c>
      <c r="F66" s="21">
        <v>23</v>
      </c>
      <c r="G66" s="38">
        <v>22.5</v>
      </c>
      <c r="H66" s="53"/>
    </row>
    <row r="67" spans="2:8" ht="24.75" customHeight="1" x14ac:dyDescent="0.4">
      <c r="B67" s="4">
        <v>44090</v>
      </c>
      <c r="C67" s="17">
        <v>22.5</v>
      </c>
      <c r="E67" s="35">
        <f t="shared" si="5"/>
        <v>23</v>
      </c>
      <c r="F67" s="21">
        <v>22.5</v>
      </c>
      <c r="G67" s="38">
        <v>21.3</v>
      </c>
      <c r="H67" s="53"/>
    </row>
    <row r="68" spans="2:8" ht="24.75" customHeight="1" x14ac:dyDescent="0.4">
      <c r="B68" s="4">
        <v>44091</v>
      </c>
      <c r="C68" s="17">
        <v>21.3</v>
      </c>
      <c r="E68" s="35">
        <f t="shared" si="5"/>
        <v>22.5</v>
      </c>
      <c r="F68" s="21">
        <v>21.3</v>
      </c>
      <c r="G68" s="38">
        <v>21.5</v>
      </c>
      <c r="H68" s="53"/>
    </row>
    <row r="69" spans="2:8" ht="24.75" customHeight="1" x14ac:dyDescent="0.4">
      <c r="B69" s="4">
        <v>44092</v>
      </c>
      <c r="C69" s="17">
        <v>21.5</v>
      </c>
      <c r="E69" s="35">
        <f t="shared" si="5"/>
        <v>21.3</v>
      </c>
      <c r="F69" s="21">
        <v>21.5</v>
      </c>
      <c r="G69" s="38">
        <v>21.2</v>
      </c>
      <c r="H69" s="53"/>
    </row>
    <row r="70" spans="2:8" ht="24.75" customHeight="1" x14ac:dyDescent="0.4">
      <c r="B70" s="4">
        <v>44093</v>
      </c>
      <c r="C70" s="17">
        <v>21.2</v>
      </c>
      <c r="E70" s="35">
        <f t="shared" si="5"/>
        <v>21.5</v>
      </c>
      <c r="F70" s="21">
        <v>21.2</v>
      </c>
      <c r="G70" s="38">
        <v>19.7</v>
      </c>
      <c r="H70" s="53"/>
    </row>
    <row r="71" spans="2:8" ht="24.75" customHeight="1" x14ac:dyDescent="0.4">
      <c r="B71" s="4">
        <v>44094</v>
      </c>
      <c r="C71" s="17">
        <v>19.7</v>
      </c>
      <c r="E71" s="35">
        <f t="shared" si="5"/>
        <v>21.2</v>
      </c>
      <c r="F71" s="21">
        <v>19.7</v>
      </c>
      <c r="G71" s="38">
        <v>19.100000000000001</v>
      </c>
      <c r="H71" s="53"/>
    </row>
    <row r="72" spans="2:8" ht="24.75" customHeight="1" x14ac:dyDescent="0.4">
      <c r="B72" s="4">
        <v>44095</v>
      </c>
      <c r="C72" s="17">
        <v>19.100000000000001</v>
      </c>
      <c r="E72" s="35">
        <f t="shared" si="5"/>
        <v>19.7</v>
      </c>
      <c r="F72" s="21">
        <v>19.100000000000001</v>
      </c>
      <c r="G72" s="38">
        <v>20.2</v>
      </c>
      <c r="H72" s="53"/>
    </row>
    <row r="73" spans="2:8" ht="24.75" customHeight="1" x14ac:dyDescent="0.4">
      <c r="B73" s="4">
        <v>44096</v>
      </c>
      <c r="C73" s="17">
        <v>20.2</v>
      </c>
      <c r="E73" s="35">
        <f t="shared" si="5"/>
        <v>19.100000000000001</v>
      </c>
      <c r="F73" s="21">
        <v>20.2</v>
      </c>
      <c r="G73" s="38">
        <v>19.2</v>
      </c>
      <c r="H73" s="53"/>
    </row>
    <row r="74" spans="2:8" ht="24.75" customHeight="1" x14ac:dyDescent="0.4">
      <c r="B74" s="4">
        <v>44097</v>
      </c>
      <c r="C74" s="17">
        <v>19.2</v>
      </c>
      <c r="E74" s="35">
        <f t="shared" si="5"/>
        <v>20.2</v>
      </c>
      <c r="F74" s="21">
        <v>19.2</v>
      </c>
      <c r="G74" s="38">
        <v>20.6</v>
      </c>
      <c r="H74" s="53"/>
    </row>
    <row r="75" spans="2:8" ht="24.75" customHeight="1" x14ac:dyDescent="0.4">
      <c r="B75" s="4">
        <v>44098</v>
      </c>
      <c r="C75" s="17">
        <v>20.6</v>
      </c>
      <c r="E75" s="35">
        <f t="shared" si="5"/>
        <v>19.2</v>
      </c>
      <c r="F75" s="21">
        <v>20.6</v>
      </c>
      <c r="G75" s="38">
        <v>20.100000000000001</v>
      </c>
      <c r="H75" s="53"/>
    </row>
    <row r="76" spans="2:8" ht="24.75" customHeight="1" thickBot="1" x14ac:dyDescent="0.45">
      <c r="B76" s="4">
        <v>44099</v>
      </c>
      <c r="C76" s="17">
        <v>20.100000000000001</v>
      </c>
      <c r="E76" s="36">
        <f t="shared" si="5"/>
        <v>20.6</v>
      </c>
      <c r="F76" s="32">
        <v>20.100000000000001</v>
      </c>
      <c r="G76" s="39">
        <v>19.2</v>
      </c>
      <c r="H76" s="54"/>
    </row>
    <row r="77" spans="2:8" ht="24.75" customHeight="1" x14ac:dyDescent="0.4">
      <c r="B77" s="4">
        <v>44100</v>
      </c>
      <c r="C77" s="17">
        <v>19.2</v>
      </c>
      <c r="E77" s="20">
        <f t="shared" si="5"/>
        <v>20.100000000000001</v>
      </c>
      <c r="F77" s="21">
        <v>19.2</v>
      </c>
      <c r="G77" s="22"/>
    </row>
    <row r="78" spans="2:8" ht="24.75" customHeight="1" x14ac:dyDescent="0.4">
      <c r="B78" s="4">
        <v>44831</v>
      </c>
      <c r="C78" s="22" t="s">
        <v>14</v>
      </c>
      <c r="E78" s="20">
        <f t="shared" si="5"/>
        <v>19.2</v>
      </c>
      <c r="F78" s="22" t="s">
        <v>14</v>
      </c>
      <c r="G78" s="22" t="s">
        <v>14</v>
      </c>
    </row>
    <row r="88" spans="8:8" ht="24.75" customHeight="1" x14ac:dyDescent="0.4">
      <c r="H88" s="1">
        <f>120/24</f>
        <v>5</v>
      </c>
    </row>
  </sheetData>
  <mergeCells count="4">
    <mergeCell ref="J45:J57"/>
    <mergeCell ref="G24:G36"/>
    <mergeCell ref="P45:P57"/>
    <mergeCell ref="H65:H76"/>
  </mergeCells>
  <phoneticPr fontId="1" type="noConversion"/>
  <pageMargins left="0.7" right="0.7" top="0.75" bottom="0.75" header="0.3" footer="0.3"/>
  <pageSetup paperSize="9" orientation="portrait" r:id="rId1"/>
  <ignoredErrors>
    <ignoredError sqref="D10:E1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NFSI172</dc:creator>
  <cp:lastModifiedBy>Sanggoo Cho</cp:lastModifiedBy>
  <dcterms:created xsi:type="dcterms:W3CDTF">2020-10-02T11:34:32Z</dcterms:created>
  <dcterms:modified xsi:type="dcterms:W3CDTF">2026-08-16T00:17:17Z</dcterms:modified>
</cp:coreProperties>
</file>