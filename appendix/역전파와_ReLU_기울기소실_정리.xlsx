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조근하\Downloads\"/>
    </mc:Choice>
  </mc:AlternateContent>
  <xr:revisionPtr revIDLastSave="0" documentId="13_ncr:1_{CEDBCCB2-F9C9-4FB7-ACF7-32726249246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역전파와 ReLU" sheetId="1" r:id="rId1"/>
    <sheet name="Sheet1" sheetId="2" r:id="rId2"/>
  </sheets>
  <definedNames>
    <definedName name="_xlnm._FilterDatabase" localSheetId="0" hidden="1">'역전파와 ReLU'!$A$4:$E$11</definedName>
  </definedNames>
  <calcPr calcId="191029"/>
</workbook>
</file>

<file path=xl/calcChain.xml><?xml version="1.0" encoding="utf-8"?>
<calcChain xmlns="http://schemas.openxmlformats.org/spreadsheetml/2006/main">
  <c r="F13" i="2" l="1"/>
  <c r="F18" i="2" s="1"/>
  <c r="D13" i="2"/>
  <c r="D14" i="2" s="1"/>
  <c r="D15" i="2" l="1"/>
  <c r="D18" i="2"/>
  <c r="F14" i="2"/>
  <c r="F15" i="2" s="1"/>
  <c r="F16" i="2" l="1"/>
  <c r="F17" i="2"/>
  <c r="F19" i="2" s="1"/>
  <c r="F20" i="2" s="1"/>
  <c r="D16" i="2"/>
  <c r="D17" i="2"/>
  <c r="D19" i="2" s="1"/>
  <c r="D20" i="2" s="1"/>
</calcChain>
</file>

<file path=xl/sharedStrings.xml><?xml version="1.0" encoding="utf-8"?>
<sst xmlns="http://schemas.openxmlformats.org/spreadsheetml/2006/main" count="120" uniqueCount="115">
  <si>
    <t>신경망 역전파(Backpropagation)와 ReLU의 기울기 소실</t>
  </si>
  <si>
    <t>예제: 입력 x=2, 은닉층 h=wx (w=3), 출력 ŷ=vh (v=2), 정답 y=10, 손실 L=½(ŷ−y)²</t>
  </si>
  <si>
    <t>단계</t>
  </si>
  <si>
    <t>계산 대상</t>
  </si>
  <si>
    <t>계산식</t>
  </si>
  <si>
    <t>계산 결과</t>
  </si>
  <si>
    <t>의미</t>
  </si>
  <si>
    <t>은닉층 출력</t>
  </si>
  <si>
    <t>h = w × x = 3 × 2</t>
  </si>
  <si>
    <t>입력 x와 가중치 w로 은닉층 값을 계산</t>
  </si>
  <si>
    <t>모델 예측값</t>
  </si>
  <si>
    <t>ŷ = v × h = 2 × 6</t>
  </si>
  <si>
    <t>출력층이 예측한 값</t>
  </si>
  <si>
    <t>손실</t>
  </si>
  <si>
    <t>L = ½(ŷ − y)² = ½(12 − 10)²</t>
  </si>
  <si>
    <t>예측값과 정답의 차이를 손실로 계산</t>
  </si>
  <si>
    <t>출력 기울기</t>
  </si>
  <si>
    <t>∂L/∂ŷ = ŷ − y = 12 − 10</t>
  </si>
  <si>
    <t>예측값이 변할 때 손실이 얼마나 변하는지</t>
  </si>
  <si>
    <t>은닉층 출력 기울기</t>
  </si>
  <si>
    <t>∂L/∂h = (∂L/∂ŷ)(∂ŷ/∂h) = 2 × v(2)</t>
  </si>
  <si>
    <t>연쇄법칙으로 출력층 기울기를 은닉층으로 전달</t>
  </si>
  <si>
    <t>은닉층 가중치 기울기</t>
  </si>
  <si>
    <t>∂L/∂w = (∂L/∂h)(∂h/∂w) = 4 × x(2)</t>
  </si>
  <si>
    <t>가중치 w를 바꾸었을 때 손실이 변하는 정도</t>
  </si>
  <si>
    <t>가중치 업데이트</t>
  </si>
  <si>
    <t>w_new = w − η(∂L/∂w) = 3 − 0.01 × 8</t>
  </si>
  <si>
    <t>학습률 η=0.01일 때 가중치 업데이트</t>
  </si>
  <si>
    <t>ReLU가 역전파에 미치는 영향</t>
  </si>
  <si>
    <t>ReLU 입력 z</t>
  </si>
  <si>
    <t>ReLU 출력</t>
  </si>
  <si>
    <t>미분값</t>
  </si>
  <si>
    <t>역전파 예시</t>
  </si>
  <si>
    <t>해석</t>
  </si>
  <si>
    <t>z &gt; 0</t>
  </si>
  <si>
    <t>f(z)=z</t>
  </si>
  <si>
    <t>f′(z)=1</t>
  </si>
  <si>
    <t>기울기 4 × 1 = 4</t>
  </si>
  <si>
    <t>양수 영역에서는 ReLU 미분으로 기울기가 줄지 않음</t>
  </si>
  <si>
    <t>z &lt; 0</t>
  </si>
  <si>
    <t>f(z)=0</t>
  </si>
  <si>
    <t>f′(z)=0</t>
  </si>
  <si>
    <t>기울기 4 × 0 = 0</t>
  </si>
  <si>
    <t>음수 영역에서는 해당 뉴런을 통한 기울기 전달이 차단됨</t>
  </si>
  <si>
    <t>핵심 정리</t>
  </si>
  <si>
    <t>1. 역전파는 손실에서 출발해 연쇄법칙으로 각 층의 미분값을 곱하며 앞쪽 층으로 기울기를 계산한다.</t>
  </si>
  <si>
    <t>2. 기울기는 단순 복사되지 않는다. 각 층의 계산식에 대한 미분값(예: 가중치)을 곱해 전달된다.</t>
  </si>
  <si>
    <t>3. ReLU는 z&gt;0에서 미분값이 1이므로 활성화 함수 자체에 의한 기울기 감소를 완화한다.</t>
  </si>
  <si>
    <t>4. ReLU는 z&lt;0에서 미분값이 0이므로 해당 뉴런의 기울기 전달이 차단될 수 있다.</t>
  </si>
  <si>
    <t>5. ReLU를 사용해도 가중치와 네트워크 구조의 영향으로 기울기 소실 또는 폭발이 완전히 사라지는 것은 아니다.</t>
  </si>
  <si>
    <t>신경망 활성화 함수 비교: Sigmoid vs ReLU (역전파 및 기울기 소실)</t>
  </si>
  <si>
    <t>매개변수 설정: 입력 x = 2, 은닉층 가중치 w = 3, 출력층 가중치 v = 2, 정답 y = 10, 학습률 η = 0.01</t>
  </si>
  <si>
    <t>파라미터 명칭</t>
  </si>
  <si>
    <t>기호</t>
  </si>
  <si>
    <t>값</t>
  </si>
  <si>
    <t>입력값 (Input)</t>
  </si>
  <si>
    <t>x</t>
  </si>
  <si>
    <t>w</t>
  </si>
  <si>
    <t>v</t>
  </si>
  <si>
    <t>정답 (Target)</t>
  </si>
  <si>
    <t>y</t>
  </si>
  <si>
    <t>학습률 (Learning Rate)</t>
  </si>
  <si>
    <t>η</t>
  </si>
  <si>
    <t>단계 (Step)</t>
  </si>
  <si>
    <t>계산 대상 (Item)</t>
  </si>
  <si>
    <t>Sigmoid 수식</t>
  </si>
  <si>
    <t>비교 및 핵심 의미 (Insight)</t>
  </si>
  <si>
    <t>1단계</t>
  </si>
  <si>
    <t>은닉층 총입력 (z)</t>
  </si>
  <si>
    <t>z = w × x</t>
  </si>
  <si>
    <t>입력과 가중치의 선형 결합 (두 함수 동일)</t>
  </si>
  <si>
    <t>2단계</t>
  </si>
  <si>
    <t>은닉층 활성화 출력 (h)</t>
  </si>
  <si>
    <t>h = 1 / (1 + e^-z)</t>
  </si>
  <si>
    <t>h = max(0, z)</t>
  </si>
  <si>
    <t>Sigmoid는 0~1 사이로 압축(0.9975), ReLU는 양수 그대로 유지(6)</t>
  </si>
  <si>
    <t>3단계</t>
  </si>
  <si>
    <t>출력층 예측값 (ŷ)</t>
  </si>
  <si>
    <t>ŷ = v × h</t>
  </si>
  <si>
    <t>ReLU 예측값(12)이 Sigmoid(1.995)보다 정답(10)에 훨씬 빠르게 접근</t>
  </si>
  <si>
    <t>4단계</t>
  </si>
  <si>
    <t>손실 함수 값 (Loss, L)</t>
  </si>
  <si>
    <t>L = 1/2 × (ŷ - y)^2</t>
  </si>
  <si>
    <t>Sigmoid는 학습 초기 오차가 매우 큼 (32.03 vs 2.00)</t>
  </si>
  <si>
    <t>5단계</t>
  </si>
  <si>
    <t>출력층 기울기 (∂L/∂ŷ)</t>
  </si>
  <si>
    <t>∂L/∂ŷ = ŷ - y</t>
  </si>
  <si>
    <t>예측 오차 (Sigmoid: -8.005, ReLU: +2.000)</t>
  </si>
  <si>
    <t>6단계</t>
  </si>
  <si>
    <t>활성화 함수 미분 (dh/dz)</t>
  </si>
  <si>
    <t>σ'(z) = h(1 - h)</t>
  </si>
  <si>
    <t>ReLU'(z) = 1 (z&gt;0)</t>
  </si>
  <si>
    <t>★ 핵심: Sigmoid 미분값은 0.0025로 급격히 감소(기울기 소실), ReLU는 1.0 유지!</t>
  </si>
  <si>
    <t>7단계</t>
  </si>
  <si>
    <t>은닉층 가중치 기울기 (∂L/∂w)</t>
  </si>
  <si>
    <t>∂L/∂w = (∂L/∂ŷ) × v × σ'(z) × x</t>
  </si>
  <si>
    <t>∂L/∂w = (∂L/∂ŷ) × v × ReLU'(z) × x</t>
  </si>
  <si>
    <t>Sigmoid 가중치 기울기는 -0.0395로 소실됨, ReLU는 8.0000으로 충분한 신호 전달</t>
  </si>
  <si>
    <t>8단계</t>
  </si>
  <si>
    <t>가중치 업데이트 (w_new)</t>
  </si>
  <si>
    <t>w_new = w - η × (∂L/∂w)</t>
  </si>
  <si>
    <t>Sigmoid는 가중치 변화가 거의 없음(3.0004), ReLU는 효율적 업데이트(2.9200)</t>
  </si>
  <si>
    <t>■ 요약 및 핵심 결론</t>
  </si>
  <si>
    <t>Sigmoid는 입력 z=6일 때 미분값 σ'(z) = h(1-h) ≈ 0.00247로 0에 매우 가까워져 역전파 기울기가 사라집니다.</t>
  </si>
  <si>
    <t>반면 ReLU는 z &gt; 0 영역에서 미분값이 항상 1이므로 기울기가 손실되지 않고 깊은 신경망에서도 역전파가 원활하게 일어납니다.</t>
  </si>
  <si>
    <t>2. 학습 속도 및 효율성:</t>
  </si>
  <si>
    <t>ReLU는 단순한 조건문(max(0, z))과 미분값 1을 가지므로 지수함수(exp) 연산이 필요한 Sigmoid보다 계산 속도가 훨씬 빠릅니다.</t>
  </si>
  <si>
    <t>3. 가중치 업데이트 비교:</t>
  </si>
  <si>
    <t>본 예제에서 Sigmoid의 가중치 기울기(∂L/∂w)는 -0.0395에 불과하여 가중치가 거의 바뀌지 않는 반면, ReLU는 8.0000으로 적절하게 업데이트됩니다.</t>
  </si>
  <si>
    <t>Sigmoid 
계산 결과</t>
    <phoneticPr fontId="1" type="noConversion"/>
  </si>
  <si>
    <t>ReLU 수식</t>
    <phoneticPr fontId="1" type="noConversion"/>
  </si>
  <si>
    <t>ReLU 
계산 결과</t>
    <phoneticPr fontId="1" type="noConversion"/>
  </si>
  <si>
    <t>1. 기울기 소실 문제 
(Gradient Vanishing):</t>
    <phoneticPr fontId="1" type="noConversion"/>
  </si>
  <si>
    <t>은닉층 가중치 
(Hidden Weight)</t>
    <phoneticPr fontId="1" type="noConversion"/>
  </si>
  <si>
    <t>출력층 가중치 
(Output Weight)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</si>
</sst>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FFFFFF"/>
      <name val="D2Coding"/>
      <family val="3"/>
      <charset val="129"/>
    </font>
    <font>
      <sz val="10"/>
      <color theme="1"/>
      <name val="D2Coding"/>
      <family val="3"/>
      <charset val="129"/>
    </font>
    <font>
      <i/>
      <sz val="10"/>
      <color rgb="FF404040"/>
      <name val="D2Coding"/>
      <family val="3"/>
      <charset val="129"/>
    </font>
    <font>
      <sz val="10"/>
      <name val="D2Coding"/>
      <family val="3"/>
      <charset val="129"/>
    </font>
    <font>
      <sz val="10"/>
      <color rgb="FF1F4E78"/>
      <name val="D2Coding"/>
      <family val="3"/>
      <charset val="129"/>
    </font>
    <font>
      <i/>
      <sz val="10"/>
      <color rgb="FF595959"/>
      <name val="D2Coding"/>
      <family val="3"/>
      <charset val="129"/>
    </font>
    <font>
      <b/>
      <sz val="10"/>
      <color rgb="FFFF0000"/>
      <name val="D2Coding"/>
      <family val="3"/>
      <charset val="129"/>
    </font>
    <font>
      <b/>
      <sz val="10"/>
      <color rgb="FF00B0F0"/>
      <name val="D2Coding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EAF2F8"/>
      </patternFill>
    </fill>
    <fill>
      <patternFill patternType="solid">
        <fgColor rgb="FF548235"/>
      </patternFill>
    </fill>
    <fill>
      <patternFill patternType="solid">
        <fgColor rgb="FF70AD4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7030A0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9FAFB"/>
        <bgColor rgb="FFF9FAFB"/>
      </patternFill>
    </fill>
  </fills>
  <borders count="9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rgb="FFD9D9D9"/>
      </top>
      <bottom style="thin">
        <color indexed="64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3" fillId="0" borderId="1" xfId="0" applyFont="1" applyBorder="1"/>
    <xf numFmtId="0" fontId="2" fillId="5" borderId="1" xfId="0" applyFont="1" applyFill="1" applyBorder="1" applyAlignment="1">
      <alignment vertical="center"/>
    </xf>
    <xf numFmtId="0" fontId="3" fillId="0" borderId="1" xfId="0" applyFont="1" applyBorder="1"/>
    <xf numFmtId="0" fontId="2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5" fillId="0" borderId="0" xfId="0" applyFont="1"/>
    <xf numFmtId="0" fontId="5" fillId="0" borderId="2" xfId="0" applyFont="1" applyBorder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/>
    </xf>
    <xf numFmtId="0" fontId="2" fillId="1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2" xfId="0" applyFont="1" applyBorder="1" applyAlignment="1">
      <alignment wrapText="1"/>
    </xf>
    <xf numFmtId="0" fontId="2" fillId="10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11" borderId="3" xfId="0" applyFont="1" applyFill="1" applyBorder="1" applyAlignment="1">
      <alignment horizontal="left" vertical="center" wrapText="1"/>
    </xf>
    <xf numFmtId="0" fontId="5" fillId="12" borderId="3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11" borderId="4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left" vertical="center" wrapText="1"/>
    </xf>
    <xf numFmtId="0" fontId="2" fillId="10" borderId="5" xfId="0" applyFont="1" applyFill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right" vertical="center"/>
    </xf>
    <xf numFmtId="176" fontId="5" fillId="12" borderId="6" xfId="0" applyNumberFormat="1" applyFont="1" applyFill="1" applyBorder="1" applyAlignment="1">
      <alignment horizontal="right" vertical="center"/>
    </xf>
    <xf numFmtId="176" fontId="5" fillId="12" borderId="7" xfId="0" applyNumberFormat="1" applyFont="1" applyFill="1" applyBorder="1" applyAlignment="1">
      <alignment horizontal="right" vertical="center"/>
    </xf>
    <xf numFmtId="0" fontId="2" fillId="10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11" borderId="8" xfId="0" applyFont="1" applyFill="1" applyBorder="1" applyAlignment="1">
      <alignment horizontal="left" vertical="center" wrapText="1"/>
    </xf>
    <xf numFmtId="0" fontId="5" fillId="12" borderId="8" xfId="0" applyFont="1" applyFill="1" applyBorder="1" applyAlignment="1">
      <alignment horizontal="left" vertical="center" wrapText="1"/>
    </xf>
    <xf numFmtId="176" fontId="8" fillId="11" borderId="6" xfId="0" applyNumberFormat="1" applyFont="1" applyFill="1" applyBorder="1" applyAlignment="1">
      <alignment horizontal="right" vertical="center"/>
    </xf>
    <xf numFmtId="176" fontId="9" fillId="11" borderId="6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990600</xdr:colOff>
      <xdr:row>17</xdr:row>
      <xdr:rowOff>160021</xdr:rowOff>
    </xdr:from>
    <xdr:to>
      <xdr:col>8</xdr:col>
      <xdr:colOff>495300</xdr:colOff>
      <xdr:row>28</xdr:row>
      <xdr:rowOff>154457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F878F8F-4E53-54B0-E02A-7253EB090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6540" y="3009901"/>
          <a:ext cx="5067300" cy="1838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showGridLines="0" workbookViewId="0">
      <pane ySplit="4" topLeftCell="A8" activePane="bottomLeft" state="frozen"/>
      <selection pane="bottomLeft" activeCell="E29" sqref="E29"/>
    </sheetView>
  </sheetViews>
  <sheetFormatPr defaultRowHeight="13.2" x14ac:dyDescent="0.25"/>
  <cols>
    <col min="1" max="1" width="10" style="3" bestFit="1" customWidth="1"/>
    <col min="2" max="2" width="17.8984375" style="3" bestFit="1" customWidth="1"/>
    <col min="3" max="3" width="30.8984375" style="3" bestFit="1" customWidth="1"/>
    <col min="4" max="4" width="14.8984375" style="3" customWidth="1"/>
    <col min="5" max="5" width="46.59765625" style="3" bestFit="1" customWidth="1"/>
    <col min="6" max="16384" width="8.796875" style="3"/>
  </cols>
  <sheetData>
    <row r="1" spans="1:5" x14ac:dyDescent="0.25">
      <c r="A1" s="1" t="s">
        <v>0</v>
      </c>
      <c r="B1" s="2"/>
      <c r="C1" s="2"/>
      <c r="D1" s="2"/>
      <c r="E1" s="2"/>
    </row>
    <row r="2" spans="1:5" x14ac:dyDescent="0.25">
      <c r="A2" s="4" t="s">
        <v>1</v>
      </c>
      <c r="B2" s="2"/>
      <c r="C2" s="2"/>
      <c r="D2" s="2"/>
      <c r="E2" s="2"/>
    </row>
    <row r="4" spans="1:5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spans="1:5" x14ac:dyDescent="0.25">
      <c r="A5" s="6">
        <v>1</v>
      </c>
      <c r="B5" s="6" t="s">
        <v>7</v>
      </c>
      <c r="C5" s="6" t="s">
        <v>8</v>
      </c>
      <c r="D5" s="6">
        <v>6</v>
      </c>
      <c r="E5" s="6" t="s">
        <v>9</v>
      </c>
    </row>
    <row r="6" spans="1:5" x14ac:dyDescent="0.25">
      <c r="A6" s="7">
        <v>2</v>
      </c>
      <c r="B6" s="7" t="s">
        <v>10</v>
      </c>
      <c r="C6" s="7" t="s">
        <v>11</v>
      </c>
      <c r="D6" s="7">
        <v>12</v>
      </c>
      <c r="E6" s="7" t="s">
        <v>12</v>
      </c>
    </row>
    <row r="7" spans="1:5" x14ac:dyDescent="0.25">
      <c r="A7" s="6">
        <v>3</v>
      </c>
      <c r="B7" s="6" t="s">
        <v>13</v>
      </c>
      <c r="C7" s="6" t="s">
        <v>14</v>
      </c>
      <c r="D7" s="6">
        <v>2</v>
      </c>
      <c r="E7" s="6" t="s">
        <v>15</v>
      </c>
    </row>
    <row r="8" spans="1:5" x14ac:dyDescent="0.25">
      <c r="A8" s="7">
        <v>4</v>
      </c>
      <c r="B8" s="7" t="s">
        <v>16</v>
      </c>
      <c r="C8" s="7" t="s">
        <v>17</v>
      </c>
      <c r="D8" s="7">
        <v>2</v>
      </c>
      <c r="E8" s="7" t="s">
        <v>18</v>
      </c>
    </row>
    <row r="9" spans="1:5" x14ac:dyDescent="0.25">
      <c r="A9" s="6">
        <v>5</v>
      </c>
      <c r="B9" s="6" t="s">
        <v>19</v>
      </c>
      <c r="C9" s="6" t="s">
        <v>20</v>
      </c>
      <c r="D9" s="6">
        <v>4</v>
      </c>
      <c r="E9" s="6" t="s">
        <v>21</v>
      </c>
    </row>
    <row r="10" spans="1:5" x14ac:dyDescent="0.25">
      <c r="A10" s="7">
        <v>6</v>
      </c>
      <c r="B10" s="7" t="s">
        <v>22</v>
      </c>
      <c r="C10" s="7" t="s">
        <v>23</v>
      </c>
      <c r="D10" s="7">
        <v>8</v>
      </c>
      <c r="E10" s="7" t="s">
        <v>24</v>
      </c>
    </row>
    <row r="11" spans="1:5" x14ac:dyDescent="0.25">
      <c r="A11" s="6">
        <v>7</v>
      </c>
      <c r="B11" s="6" t="s">
        <v>25</v>
      </c>
      <c r="C11" s="6" t="s">
        <v>26</v>
      </c>
      <c r="D11" s="6">
        <v>2.92</v>
      </c>
      <c r="E11" s="6" t="s">
        <v>27</v>
      </c>
    </row>
    <row r="12" spans="1:5" x14ac:dyDescent="0.25">
      <c r="A12" s="8"/>
      <c r="B12" s="8"/>
      <c r="C12" s="8"/>
      <c r="D12" s="8"/>
      <c r="E12" s="8"/>
    </row>
    <row r="13" spans="1:5" x14ac:dyDescent="0.25">
      <c r="A13" s="8"/>
      <c r="B13" s="8"/>
      <c r="C13" s="8"/>
      <c r="D13" s="8"/>
      <c r="E13" s="8"/>
    </row>
    <row r="14" spans="1:5" x14ac:dyDescent="0.25">
      <c r="A14" s="9" t="s">
        <v>28</v>
      </c>
      <c r="B14" s="10"/>
      <c r="C14" s="10"/>
      <c r="D14" s="10"/>
      <c r="E14" s="10"/>
    </row>
    <row r="15" spans="1:5" x14ac:dyDescent="0.25">
      <c r="A15" s="11" t="s">
        <v>29</v>
      </c>
      <c r="B15" s="11" t="s">
        <v>30</v>
      </c>
      <c r="C15" s="11" t="s">
        <v>31</v>
      </c>
      <c r="D15" s="11" t="s">
        <v>32</v>
      </c>
      <c r="E15" s="11" t="s">
        <v>33</v>
      </c>
    </row>
    <row r="16" spans="1:5" x14ac:dyDescent="0.25">
      <c r="A16" s="12" t="s">
        <v>34</v>
      </c>
      <c r="B16" s="12" t="s">
        <v>35</v>
      </c>
      <c r="C16" s="12" t="s">
        <v>36</v>
      </c>
      <c r="D16" s="12" t="s">
        <v>37</v>
      </c>
      <c r="E16" s="12" t="s">
        <v>38</v>
      </c>
    </row>
    <row r="17" spans="1:5" x14ac:dyDescent="0.25">
      <c r="A17" s="13" t="s">
        <v>39</v>
      </c>
      <c r="B17" s="13" t="s">
        <v>40</v>
      </c>
      <c r="C17" s="13" t="s">
        <v>41</v>
      </c>
      <c r="D17" s="13" t="s">
        <v>42</v>
      </c>
      <c r="E17" s="13" t="s">
        <v>43</v>
      </c>
    </row>
    <row r="18" spans="1:5" x14ac:dyDescent="0.25">
      <c r="A18" s="8"/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  <row r="20" spans="1:5" x14ac:dyDescent="0.25">
      <c r="A20" s="14" t="s">
        <v>44</v>
      </c>
      <c r="B20" s="10"/>
      <c r="C20" s="10"/>
      <c r="D20" s="10"/>
      <c r="E20" s="10"/>
    </row>
    <row r="21" spans="1:5" x14ac:dyDescent="0.25">
      <c r="A21" s="15" t="s">
        <v>45</v>
      </c>
      <c r="B21" s="10"/>
      <c r="C21" s="10"/>
      <c r="D21" s="10"/>
      <c r="E21" s="10"/>
    </row>
    <row r="22" spans="1:5" x14ac:dyDescent="0.25">
      <c r="A22" s="15" t="s">
        <v>46</v>
      </c>
      <c r="B22" s="10"/>
      <c r="C22" s="10"/>
      <c r="D22" s="10"/>
      <c r="E22" s="10"/>
    </row>
    <row r="23" spans="1:5" x14ac:dyDescent="0.25">
      <c r="A23" s="15" t="s">
        <v>47</v>
      </c>
      <c r="B23" s="10"/>
      <c r="C23" s="10"/>
      <c r="D23" s="10"/>
      <c r="E23" s="10"/>
    </row>
    <row r="24" spans="1:5" x14ac:dyDescent="0.25">
      <c r="A24" s="15" t="s">
        <v>48</v>
      </c>
      <c r="B24" s="10"/>
      <c r="C24" s="10"/>
      <c r="D24" s="10"/>
      <c r="E24" s="10"/>
    </row>
    <row r="25" spans="1:5" x14ac:dyDescent="0.25">
      <c r="A25" s="15" t="s">
        <v>49</v>
      </c>
      <c r="B25" s="10"/>
      <c r="C25" s="10"/>
      <c r="D25" s="10"/>
      <c r="E25" s="10"/>
    </row>
  </sheetData>
  <autoFilter ref="A4:E11" xr:uid="{00000000-0009-0000-0000-000000000000}"/>
  <mergeCells count="9">
    <mergeCell ref="A1:E1"/>
    <mergeCell ref="A23:E23"/>
    <mergeCell ref="A14:E14"/>
    <mergeCell ref="A22:E22"/>
    <mergeCell ref="A21:E21"/>
    <mergeCell ref="A20:E20"/>
    <mergeCell ref="A24:E24"/>
    <mergeCell ref="A2:E2"/>
    <mergeCell ref="A25:E25"/>
  </mergeCells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9941-69BA-4EF8-85CA-5472FB0E97BA}">
  <dimension ref="A1:G27"/>
  <sheetViews>
    <sheetView showGridLines="0" tabSelected="1" topLeftCell="A3" workbookViewId="0">
      <selection activeCell="B19" sqref="B19"/>
    </sheetView>
  </sheetViews>
  <sheetFormatPr defaultRowHeight="13.2" x14ac:dyDescent="0.25"/>
  <cols>
    <col min="1" max="1" width="20" style="3" customWidth="1"/>
    <col min="2" max="2" width="24.796875" style="3" bestFit="1" customWidth="1"/>
    <col min="3" max="3" width="27.3984375" style="3" bestFit="1" customWidth="1"/>
    <col min="4" max="4" width="8.3984375" style="3" bestFit="1" customWidth="1"/>
    <col min="5" max="5" width="30" style="3" bestFit="1" customWidth="1"/>
    <col min="6" max="6" width="8.3984375" style="3" bestFit="1" customWidth="1"/>
    <col min="7" max="7" width="66.5" style="3" customWidth="1"/>
    <col min="8" max="16384" width="8.796875" style="3"/>
  </cols>
  <sheetData>
    <row r="1" spans="1:7" x14ac:dyDescent="0.25">
      <c r="A1" s="16" t="s">
        <v>50</v>
      </c>
      <c r="B1" s="2"/>
      <c r="C1" s="2"/>
      <c r="D1" s="2"/>
      <c r="E1" s="2"/>
      <c r="F1" s="2"/>
      <c r="G1" s="2"/>
    </row>
    <row r="2" spans="1:7" x14ac:dyDescent="0.25">
      <c r="A2" s="17" t="s">
        <v>51</v>
      </c>
      <c r="B2" s="2"/>
      <c r="C2" s="2"/>
      <c r="D2" s="2"/>
      <c r="E2" s="2"/>
      <c r="F2" s="2"/>
      <c r="G2" s="2"/>
    </row>
    <row r="4" spans="1:7" x14ac:dyDescent="0.25">
      <c r="A4" s="18" t="s">
        <v>52</v>
      </c>
      <c r="B4" s="18" t="s">
        <v>53</v>
      </c>
      <c r="C4" s="18" t="s">
        <v>54</v>
      </c>
    </row>
    <row r="5" spans="1:7" x14ac:dyDescent="0.25">
      <c r="A5" s="19" t="s">
        <v>55</v>
      </c>
      <c r="B5" s="20" t="s">
        <v>56</v>
      </c>
      <c r="C5" s="21">
        <v>2</v>
      </c>
    </row>
    <row r="6" spans="1:7" ht="26.4" x14ac:dyDescent="0.25">
      <c r="A6" s="30" t="s">
        <v>113</v>
      </c>
      <c r="B6" s="20" t="s">
        <v>57</v>
      </c>
      <c r="C6" s="21">
        <v>3</v>
      </c>
    </row>
    <row r="7" spans="1:7" ht="26.4" x14ac:dyDescent="0.25">
      <c r="A7" s="30" t="s">
        <v>114</v>
      </c>
      <c r="B7" s="20" t="s">
        <v>58</v>
      </c>
      <c r="C7" s="21">
        <v>2</v>
      </c>
    </row>
    <row r="8" spans="1:7" x14ac:dyDescent="0.25">
      <c r="A8" s="19" t="s">
        <v>59</v>
      </c>
      <c r="B8" s="20" t="s">
        <v>60</v>
      </c>
      <c r="C8" s="21">
        <v>10</v>
      </c>
    </row>
    <row r="9" spans="1:7" x14ac:dyDescent="0.25">
      <c r="A9" s="19" t="s">
        <v>61</v>
      </c>
      <c r="B9" s="20" t="s">
        <v>62</v>
      </c>
      <c r="C9" s="21">
        <v>0.01</v>
      </c>
    </row>
    <row r="12" spans="1:7" ht="26.4" x14ac:dyDescent="0.25">
      <c r="A12" s="22" t="s">
        <v>63</v>
      </c>
      <c r="B12" s="22" t="s">
        <v>64</v>
      </c>
      <c r="C12" s="31" t="s">
        <v>65</v>
      </c>
      <c r="D12" s="39" t="s">
        <v>109</v>
      </c>
      <c r="E12" s="43" t="s">
        <v>110</v>
      </c>
      <c r="F12" s="39" t="s">
        <v>111</v>
      </c>
      <c r="G12" s="35" t="s">
        <v>66</v>
      </c>
    </row>
    <row r="13" spans="1:7" x14ac:dyDescent="0.25">
      <c r="A13" s="20" t="s">
        <v>67</v>
      </c>
      <c r="B13" s="23" t="s">
        <v>68</v>
      </c>
      <c r="C13" s="32" t="s">
        <v>69</v>
      </c>
      <c r="D13" s="40">
        <f>C6*C5</f>
        <v>6</v>
      </c>
      <c r="E13" s="44" t="s">
        <v>69</v>
      </c>
      <c r="F13" s="40">
        <f>C6*C5</f>
        <v>6</v>
      </c>
      <c r="G13" s="36" t="s">
        <v>70</v>
      </c>
    </row>
    <row r="14" spans="1:7" x14ac:dyDescent="0.25">
      <c r="A14" s="24" t="s">
        <v>71</v>
      </c>
      <c r="B14" s="25" t="s">
        <v>72</v>
      </c>
      <c r="C14" s="33" t="s">
        <v>73</v>
      </c>
      <c r="D14" s="47">
        <f>1/(1+EXP(-D13))</f>
        <v>0.99752737684336534</v>
      </c>
      <c r="E14" s="45" t="s">
        <v>74</v>
      </c>
      <c r="F14" s="48">
        <f>MAX(0, F13)</f>
        <v>6</v>
      </c>
      <c r="G14" s="37" t="s">
        <v>75</v>
      </c>
    </row>
    <row r="15" spans="1:7" x14ac:dyDescent="0.25">
      <c r="A15" s="20" t="s">
        <v>76</v>
      </c>
      <c r="B15" s="23" t="s">
        <v>77</v>
      </c>
      <c r="C15" s="32" t="s">
        <v>78</v>
      </c>
      <c r="D15" s="40">
        <f>C7*D14</f>
        <v>1.9950547536867307</v>
      </c>
      <c r="E15" s="44" t="s">
        <v>78</v>
      </c>
      <c r="F15" s="40">
        <f>C7*F14</f>
        <v>12</v>
      </c>
      <c r="G15" s="36" t="s">
        <v>79</v>
      </c>
    </row>
    <row r="16" spans="1:7" x14ac:dyDescent="0.25">
      <c r="A16" s="26" t="s">
        <v>80</v>
      </c>
      <c r="B16" s="27" t="s">
        <v>81</v>
      </c>
      <c r="C16" s="34" t="s">
        <v>82</v>
      </c>
      <c r="D16" s="41">
        <f>0.5*(D15-C8)^2</f>
        <v>32.039574198236707</v>
      </c>
      <c r="E16" s="46" t="s">
        <v>82</v>
      </c>
      <c r="F16" s="41">
        <f>0.5*(F15-C8)^2</f>
        <v>2</v>
      </c>
      <c r="G16" s="38" t="s">
        <v>83</v>
      </c>
    </row>
    <row r="17" spans="1:7" x14ac:dyDescent="0.25">
      <c r="A17" s="20" t="s">
        <v>84</v>
      </c>
      <c r="B17" s="23" t="s">
        <v>85</v>
      </c>
      <c r="C17" s="32" t="s">
        <v>86</v>
      </c>
      <c r="D17" s="40">
        <f>D15-C8</f>
        <v>-8.0049452463132695</v>
      </c>
      <c r="E17" s="44" t="s">
        <v>86</v>
      </c>
      <c r="F17" s="40">
        <f>F15-C8</f>
        <v>2</v>
      </c>
      <c r="G17" s="36" t="s">
        <v>87</v>
      </c>
    </row>
    <row r="18" spans="1:7" x14ac:dyDescent="0.25">
      <c r="A18" s="24" t="s">
        <v>88</v>
      </c>
      <c r="B18" s="25" t="s">
        <v>89</v>
      </c>
      <c r="C18" s="33" t="s">
        <v>90</v>
      </c>
      <c r="D18" s="47">
        <f>D14*(1-D14)</f>
        <v>2.4665092913599309E-3</v>
      </c>
      <c r="E18" s="45" t="s">
        <v>91</v>
      </c>
      <c r="F18" s="48">
        <f>IF(F13&gt;0, 1, 0)</f>
        <v>1</v>
      </c>
      <c r="G18" s="37" t="s">
        <v>92</v>
      </c>
    </row>
    <row r="19" spans="1:7" x14ac:dyDescent="0.25">
      <c r="A19" s="24" t="s">
        <v>93</v>
      </c>
      <c r="B19" s="25" t="s">
        <v>94</v>
      </c>
      <c r="C19" s="33" t="s">
        <v>95</v>
      </c>
      <c r="D19" s="47">
        <f>D17*C7*D18*C5</f>
        <v>-7.8977087307436758E-2</v>
      </c>
      <c r="E19" s="45" t="s">
        <v>96</v>
      </c>
      <c r="F19" s="48">
        <f>F17*C7*F18*C5</f>
        <v>8</v>
      </c>
      <c r="G19" s="37" t="s">
        <v>97</v>
      </c>
    </row>
    <row r="20" spans="1:7" x14ac:dyDescent="0.25">
      <c r="A20" s="26" t="s">
        <v>98</v>
      </c>
      <c r="B20" s="27" t="s">
        <v>99</v>
      </c>
      <c r="C20" s="34" t="s">
        <v>100</v>
      </c>
      <c r="D20" s="42">
        <f>C6-C9*D19</f>
        <v>3.0007897708730744</v>
      </c>
      <c r="E20" s="46" t="s">
        <v>100</v>
      </c>
      <c r="F20" s="42">
        <f>C6-C9*F19</f>
        <v>2.92</v>
      </c>
      <c r="G20" s="38" t="s">
        <v>101</v>
      </c>
    </row>
    <row r="23" spans="1:7" x14ac:dyDescent="0.25">
      <c r="A23" s="16" t="s">
        <v>102</v>
      </c>
      <c r="B23" s="2"/>
      <c r="C23" s="2"/>
      <c r="D23" s="2"/>
      <c r="E23" s="2"/>
      <c r="F23" s="2"/>
      <c r="G23" s="2"/>
    </row>
    <row r="24" spans="1:7" ht="26.4" x14ac:dyDescent="0.25">
      <c r="A24" s="29" t="s">
        <v>112</v>
      </c>
      <c r="B24" s="28" t="s">
        <v>103</v>
      </c>
      <c r="C24" s="2"/>
      <c r="D24" s="2"/>
      <c r="E24" s="2"/>
      <c r="F24" s="2"/>
      <c r="G24" s="2"/>
    </row>
    <row r="25" spans="1:7" x14ac:dyDescent="0.25">
      <c r="A25" s="18"/>
      <c r="B25" s="28" t="s">
        <v>104</v>
      </c>
      <c r="C25" s="2"/>
      <c r="D25" s="2"/>
      <c r="E25" s="2"/>
      <c r="F25" s="2"/>
      <c r="G25" s="2"/>
    </row>
    <row r="26" spans="1:7" x14ac:dyDescent="0.25">
      <c r="A26" s="18" t="s">
        <v>105</v>
      </c>
      <c r="B26" s="28" t="s">
        <v>106</v>
      </c>
      <c r="C26" s="2"/>
      <c r="D26" s="2"/>
      <c r="E26" s="2"/>
      <c r="F26" s="2"/>
      <c r="G26" s="2"/>
    </row>
    <row r="27" spans="1:7" x14ac:dyDescent="0.25">
      <c r="A27" s="18" t="s">
        <v>107</v>
      </c>
      <c r="B27" s="28" t="s">
        <v>108</v>
      </c>
      <c r="C27" s="2"/>
      <c r="D27" s="2"/>
      <c r="E27" s="2"/>
      <c r="F27" s="2"/>
      <c r="G27" s="2"/>
    </row>
  </sheetData>
  <mergeCells count="7">
    <mergeCell ref="B27:G27"/>
    <mergeCell ref="A1:G1"/>
    <mergeCell ref="A2:G2"/>
    <mergeCell ref="A23:G23"/>
    <mergeCell ref="B24:G24"/>
    <mergeCell ref="B25:G25"/>
    <mergeCell ref="B26:G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역전파와 ReLU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Sanggoo Cho</cp:lastModifiedBy>
  <dcterms:created xsi:type="dcterms:W3CDTF">2026-10-14T08:50:35Z</dcterms:created>
  <dcterms:modified xsi:type="dcterms:W3CDTF">2026-10-14T11:11:02Z</dcterms:modified>
</cp:coreProperties>
</file>