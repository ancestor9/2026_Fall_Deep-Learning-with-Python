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B2AE644-F527-457E-8C85-7D9182A38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olution" sheetId="4" r:id="rId1"/>
    <sheet name="cnn_kernel" sheetId="2" r:id="rId2"/>
    <sheet name="cnn_hole_detec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4" l="1"/>
  <c r="M16" i="4"/>
  <c r="N16" i="4"/>
  <c r="O16" i="4"/>
  <c r="P16" i="4"/>
  <c r="Q16" i="4"/>
  <c r="L17" i="4"/>
  <c r="M17" i="4"/>
  <c r="N17" i="4"/>
  <c r="O17" i="4"/>
  <c r="P17" i="4"/>
  <c r="Q17" i="4"/>
  <c r="L18" i="4"/>
  <c r="M18" i="4"/>
  <c r="N18" i="4"/>
  <c r="O18" i="4"/>
  <c r="P18" i="4"/>
  <c r="Q18" i="4"/>
  <c r="L19" i="4"/>
  <c r="M19" i="4"/>
  <c r="N19" i="4"/>
  <c r="O19" i="4"/>
  <c r="P19" i="4"/>
  <c r="Q19" i="4"/>
  <c r="L20" i="4"/>
  <c r="M20" i="4"/>
  <c r="N20" i="4"/>
  <c r="O20" i="4"/>
  <c r="P20" i="4"/>
  <c r="Q20" i="4"/>
  <c r="M15" i="4"/>
  <c r="N15" i="4"/>
  <c r="O15" i="4"/>
  <c r="P15" i="4"/>
  <c r="Q15" i="4"/>
  <c r="L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C15" i="4"/>
  <c r="D15" i="4"/>
  <c r="E15" i="4"/>
  <c r="E21" i="4" s="1"/>
  <c r="F15" i="4"/>
  <c r="G15" i="4"/>
  <c r="B15" i="4"/>
  <c r="G7" i="4"/>
  <c r="F7" i="4"/>
  <c r="E7" i="4"/>
  <c r="D7" i="4"/>
  <c r="C7" i="4"/>
  <c r="B7" i="4"/>
  <c r="C4" i="4"/>
  <c r="D4" i="4"/>
  <c r="E4" i="4"/>
  <c r="F4" i="4"/>
  <c r="G4" i="4"/>
  <c r="B4" i="4"/>
  <c r="O26" i="3"/>
  <c r="N26" i="3"/>
  <c r="M26" i="3"/>
  <c r="O25" i="3"/>
  <c r="N25" i="3"/>
  <c r="M25" i="3"/>
  <c r="O24" i="3"/>
  <c r="N24" i="3"/>
  <c r="M24" i="3"/>
  <c r="O23" i="3"/>
  <c r="N23" i="3"/>
  <c r="M23" i="3"/>
  <c r="O22" i="3"/>
  <c r="N22" i="3"/>
  <c r="M22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R37" i="2"/>
  <c r="P37" i="2"/>
  <c r="N37" i="2"/>
  <c r="L37" i="2"/>
  <c r="Q36" i="2"/>
  <c r="O36" i="2"/>
  <c r="M36" i="2"/>
  <c r="K36" i="2"/>
  <c r="Q19" i="2"/>
  <c r="O19" i="2"/>
  <c r="M19" i="2"/>
  <c r="K19" i="2"/>
  <c r="B2" i="2"/>
  <c r="B3" i="2" s="1"/>
  <c r="B4" i="2" s="1"/>
  <c r="H20" i="4" l="1"/>
  <c r="B21" i="4"/>
  <c r="G21" i="4"/>
  <c r="F21" i="4"/>
  <c r="C26" i="4"/>
  <c r="C27" i="4" s="1"/>
  <c r="D21" i="4"/>
  <c r="C21" i="4"/>
  <c r="H18" i="4"/>
  <c r="H4" i="4"/>
  <c r="H16" i="4"/>
  <c r="H7" i="4"/>
  <c r="H21" i="4"/>
  <c r="H19" i="4"/>
  <c r="H17" i="4"/>
  <c r="B26" i="4"/>
  <c r="B27" i="4" s="1"/>
  <c r="L26" i="4"/>
  <c r="L27" i="4" s="1"/>
  <c r="K26" i="4"/>
  <c r="K27" i="4" s="1"/>
  <c r="J26" i="4"/>
  <c r="J27" i="4" s="1"/>
  <c r="I26" i="4"/>
  <c r="I27" i="4" s="1"/>
  <c r="H26" i="4"/>
  <c r="H27" i="4" s="1"/>
  <c r="G26" i="4"/>
  <c r="G27" i="4" s="1"/>
  <c r="H15" i="4"/>
  <c r="F26" i="4"/>
  <c r="F27" i="4" s="1"/>
  <c r="E26" i="4"/>
  <c r="E27" i="4" s="1"/>
  <c r="D26" i="4"/>
  <c r="D27" i="4" s="1"/>
  <c r="B5" i="2"/>
  <c r="C2" i="2"/>
  <c r="B6" i="2" l="1"/>
  <c r="D2" i="2"/>
  <c r="C3" i="2"/>
  <c r="E2" i="2" l="1"/>
  <c r="D3" i="2"/>
  <c r="B7" i="2"/>
  <c r="C4" i="2"/>
  <c r="B8" i="2" l="1"/>
  <c r="D4" i="2"/>
  <c r="C5" i="2"/>
  <c r="F2" i="2"/>
  <c r="E3" i="2"/>
  <c r="D5" i="2" l="1"/>
  <c r="T3" i="2"/>
  <c r="G2" i="2"/>
  <c r="F3" i="2"/>
  <c r="E4" i="2"/>
  <c r="U2" i="2"/>
  <c r="T2" i="2"/>
  <c r="B9" i="2"/>
  <c r="C6" i="2"/>
  <c r="C7" i="2" l="1"/>
  <c r="G3" i="2"/>
  <c r="H2" i="2"/>
  <c r="B10" i="2"/>
  <c r="E5" i="2"/>
  <c r="F4" i="2"/>
  <c r="D6" i="2"/>
  <c r="E6" i="2" l="1"/>
  <c r="U3" i="2"/>
  <c r="F5" i="2"/>
  <c r="V2" i="2"/>
  <c r="G4" i="2"/>
  <c r="D7" i="2"/>
  <c r="T4" i="2"/>
  <c r="W2" i="2"/>
  <c r="C8" i="2"/>
  <c r="T5" i="2"/>
  <c r="B11" i="2"/>
  <c r="V3" i="2"/>
  <c r="U4" i="2"/>
  <c r="I2" i="2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X2" i="2"/>
  <c r="D8" i="2" l="1"/>
  <c r="I3" i="2"/>
  <c r="T19" i="2"/>
  <c r="E7" i="2"/>
  <c r="F6" i="2"/>
  <c r="B12" i="2"/>
  <c r="C9" i="2"/>
  <c r="G5" i="2"/>
  <c r="C10" i="2" l="1"/>
  <c r="F7" i="2"/>
  <c r="V4" i="2"/>
  <c r="I4" i="2"/>
  <c r="T36" i="2"/>
  <c r="T20" i="2"/>
  <c r="G6" i="2"/>
  <c r="W3" i="2"/>
  <c r="D9" i="2"/>
  <c r="T7" i="2"/>
  <c r="T6" i="2"/>
  <c r="E8" i="2"/>
  <c r="U6" i="2"/>
  <c r="U5" i="2"/>
  <c r="B13" i="2"/>
  <c r="X3" i="2"/>
  <c r="F8" i="2" l="1"/>
  <c r="V5" i="2"/>
  <c r="E9" i="2"/>
  <c r="G7" i="2"/>
  <c r="W5" i="2"/>
  <c r="X5" i="2"/>
  <c r="W4" i="2"/>
  <c r="X4" i="2"/>
  <c r="D10" i="2"/>
  <c r="T8" i="2"/>
  <c r="I5" i="2"/>
  <c r="T37" i="2"/>
  <c r="Y2" i="2"/>
  <c r="T21" i="2"/>
  <c r="C11" i="2"/>
  <c r="B14" i="2"/>
  <c r="I6" i="2" l="1"/>
  <c r="T38" i="2"/>
  <c r="Y3" i="2"/>
  <c r="T22" i="2"/>
  <c r="B15" i="2"/>
  <c r="U7" i="2"/>
  <c r="G8" i="2"/>
  <c r="F9" i="2"/>
  <c r="V6" i="2"/>
  <c r="C12" i="2"/>
  <c r="D11" i="2"/>
  <c r="E10" i="2"/>
  <c r="Y4" i="2"/>
  <c r="U8" i="2"/>
  <c r="T9" i="2"/>
  <c r="G9" i="2" l="1"/>
  <c r="X7" i="2" s="1"/>
  <c r="X6" i="2"/>
  <c r="E11" i="2"/>
  <c r="C13" i="2"/>
  <c r="B16" i="2"/>
  <c r="I7" i="2"/>
  <c r="T39" i="2"/>
  <c r="T23" i="2"/>
  <c r="F10" i="2"/>
  <c r="V7" i="2"/>
  <c r="V8" i="2"/>
  <c r="D12" i="2"/>
  <c r="W6" i="2"/>
  <c r="G10" i="2" l="1"/>
  <c r="C14" i="2"/>
  <c r="E12" i="2"/>
  <c r="U9" i="2"/>
  <c r="U10" i="2"/>
  <c r="I8" i="2"/>
  <c r="T40" i="2"/>
  <c r="T24" i="2"/>
  <c r="Y5" i="2"/>
  <c r="F11" i="2"/>
  <c r="X8" i="2"/>
  <c r="D13" i="2"/>
  <c r="T10" i="2"/>
  <c r="T11" i="2"/>
  <c r="Y6" i="2"/>
  <c r="W7" i="2"/>
  <c r="C15" i="2" l="1"/>
  <c r="I9" i="2"/>
  <c r="T41" i="2"/>
  <c r="T25" i="2"/>
  <c r="E13" i="2"/>
  <c r="G11" i="2"/>
  <c r="W8" i="2"/>
  <c r="W9" i="2"/>
  <c r="D14" i="2"/>
  <c r="T12" i="2"/>
  <c r="F12" i="2"/>
  <c r="V9" i="2"/>
  <c r="U11" i="2"/>
  <c r="E14" i="2" l="1"/>
  <c r="C16" i="2"/>
  <c r="I10" i="2"/>
  <c r="T43" i="2" s="1"/>
  <c r="T26" i="2"/>
  <c r="Y7" i="2"/>
  <c r="D15" i="2"/>
  <c r="D16" i="2" s="1"/>
  <c r="Y8" i="2"/>
  <c r="F13" i="2"/>
  <c r="V10" i="2"/>
  <c r="G12" i="2"/>
  <c r="X10" i="2"/>
  <c r="X9" i="2"/>
  <c r="T42" i="2"/>
  <c r="T13" i="2"/>
  <c r="F14" i="2" l="1"/>
  <c r="T14" i="2"/>
  <c r="E15" i="2"/>
  <c r="U12" i="2"/>
  <c r="I11" i="2"/>
  <c r="T44" i="2"/>
  <c r="T27" i="2"/>
  <c r="G13" i="2"/>
  <c r="W10" i="2"/>
  <c r="V11" i="2"/>
  <c r="E16" i="2" l="1"/>
  <c r="U13" i="2"/>
  <c r="U14" i="2"/>
  <c r="I12" i="2"/>
  <c r="Y9" i="2"/>
  <c r="T28" i="2"/>
  <c r="G14" i="2"/>
  <c r="X11" i="2"/>
  <c r="X12" i="2"/>
  <c r="W11" i="2"/>
  <c r="F15" i="2"/>
  <c r="V13" i="2" s="1"/>
  <c r="V12" i="2"/>
  <c r="I13" i="2" l="1"/>
  <c r="T29" i="2"/>
  <c r="T46" i="2"/>
  <c r="G15" i="2"/>
  <c r="G16" i="2" s="1"/>
  <c r="W12" i="2"/>
  <c r="T45" i="2"/>
  <c r="X13" i="2"/>
  <c r="F16" i="2"/>
  <c r="V14" i="2" s="1"/>
  <c r="W13" i="2"/>
  <c r="Y10" i="2"/>
  <c r="W14" i="2" l="1"/>
  <c r="I14" i="2"/>
  <c r="T47" i="2"/>
  <c r="T30" i="2"/>
  <c r="Y11" i="2"/>
  <c r="X14" i="2"/>
  <c r="I15" i="2" l="1"/>
  <c r="Y12" i="2"/>
  <c r="T31" i="2"/>
  <c r="I16" i="2" l="1"/>
  <c r="T49" i="2"/>
  <c r="T32" i="2"/>
  <c r="T48" i="2"/>
  <c r="Y13" i="2"/>
  <c r="T33" i="2" l="1"/>
  <c r="Y14" i="2"/>
</calcChain>
</file>

<file path=xl/sharedStrings.xml><?xml version="1.0" encoding="utf-8"?>
<sst xmlns="http://schemas.openxmlformats.org/spreadsheetml/2006/main" count="32" uniqueCount="27">
  <si>
    <t>1D</t>
    <phoneticPr fontId="3" type="noConversion"/>
  </si>
  <si>
    <t xml:space="preserve">  CNN 합성곱(Convolution) &amp; 구멍 감지(Hole Detector) 시뮬레이터</t>
  </si>
  <si>
    <t>■ 1. 입력 이미지 (숫자 '6' 데이터)</t>
  </si>
  <si>
    <t>■ 2. 구멍 감지 필터 (Kernel)</t>
  </si>
  <si>
    <t>■ 3. 활성화 함수 (ReLU)</t>
  </si>
  <si>
    <t>■ 4. 출력 특성 맵 (Feature Map)</t>
  </si>
  <si>
    <t>공식: f(x) = MAX(0, x)</t>
  </si>
  <si>
    <t>설명: 합성곱 연산 결과가</t>
  </si>
  <si>
    <t>음수이면 0, 양수이면</t>
  </si>
  <si>
    <t>그대로 통과시킵니다.</t>
  </si>
  <si>
    <t>💡 이미지 속 초록색 선과 하늘색(Cyan) 칸의 의미
1. 가운데 노란색 필터는 테두리가 1이고 중심이 -10인 '구멍 감지 필터(Hole Detector)'입니다.
2. 입력 이미지에서 숫자 '6'의 아랫부분(초록색 동그라미 영역)을 보면 주변은 1(흰색)인데 중심만 0(검은색 빈공간)인 완벽한 구멍 구조를 가집니다.
3. 이 필터가 해당 구멍 영역을 지나갈 때 필터의 특성과 정확히 일치하여 가장 높은 결과값(8)을 출력하게 됩니다.
4. 오른쪽 특성 맵에서 하늘색(Cyan)으로 채워진 칸이 바로 필터가 구멍을 성공적으로 감지해내어 강한 신호를 발생시킨 지점입니다.</t>
  </si>
  <si>
    <t>■ 1. 입력 이미지 (숫자 '9' 데이터)</t>
    <phoneticPr fontId="3" type="noConversion"/>
  </si>
  <si>
    <t>X</t>
    <phoneticPr fontId="3" type="noConversion"/>
  </si>
  <si>
    <t>Y</t>
    <phoneticPr fontId="3" type="noConversion"/>
  </si>
  <si>
    <t>P(X)</t>
    <phoneticPr fontId="3" type="noConversion"/>
  </si>
  <si>
    <t>P(Y)</t>
    <phoneticPr fontId="3" type="noConversion"/>
  </si>
  <si>
    <t xml:space="preserve">Total </t>
    <phoneticPr fontId="3" type="noConversion"/>
  </si>
  <si>
    <t>X / Y</t>
    <phoneticPr fontId="3" type="noConversion"/>
  </si>
  <si>
    <r>
      <t xml:space="preserve">P(X, Y) = P(X)*P(Y), </t>
    </r>
    <r>
      <rPr>
        <sz val="10"/>
        <color rgb="FF000000"/>
        <rFont val="맑은 고딕"/>
        <family val="2"/>
        <charset val="129"/>
      </rPr>
      <t>서로 독립</t>
    </r>
    <phoneticPr fontId="3" type="noConversion"/>
  </si>
  <si>
    <t>Marginal distribution</t>
    <phoneticPr fontId="3" type="noConversion"/>
  </si>
  <si>
    <t>Joint Distribution</t>
    <phoneticPr fontId="3" type="noConversion"/>
  </si>
  <si>
    <t>Z = X + Y</t>
    <phoneticPr fontId="3" type="noConversion"/>
  </si>
  <si>
    <t>P(Z)</t>
    <phoneticPr fontId="3" type="noConversion"/>
  </si>
  <si>
    <t>Z</t>
    <phoneticPr fontId="3" type="noConversion"/>
  </si>
  <si>
    <t># of Z</t>
    <phoneticPr fontId="3" type="noConversion"/>
  </si>
  <si>
    <t>Convolution Random Variable Z</t>
    <phoneticPr fontId="3" type="noConversion"/>
  </si>
  <si>
    <t>Frequency of Z = X  +  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</si>
</sst>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-* #,##0.00_-;\-* #,##0.00_-;_-* &quot;-&quot;_-;_-@_-"/>
    <numFmt numFmtId="183" formatCode="0.000"/>
  </numFmts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6"/>
      <color rgb="FFFFFFFF"/>
      <name val="Malgun Gothic"/>
      <family val="3"/>
      <charset val="129"/>
    </font>
    <font>
      <b/>
      <sz val="12"/>
      <color rgb="FF203A43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333333"/>
      <name val="Malgun Gothic"/>
      <family val="3"/>
      <charset val="129"/>
    </font>
    <font>
      <i/>
      <sz val="9"/>
      <color rgb="FF666666"/>
      <name val="Malgun Gothic"/>
      <family val="3"/>
      <charset val="129"/>
    </font>
    <font>
      <sz val="10"/>
      <color rgb="FF000000"/>
      <name val="Arial"/>
      <scheme val="minor"/>
    </font>
    <font>
      <sz val="10"/>
      <color rgb="FF000000"/>
      <name val="맑은 고딕"/>
      <family val="2"/>
      <charset val="129"/>
    </font>
    <font>
      <b/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027"/>
        <bgColor rgb="FF0F2027"/>
      </patternFill>
    </fill>
    <fill>
      <patternFill patternType="solid">
        <fgColor rgb="FF1A1A1A"/>
        <bgColor rgb="FF1A1A1A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F7F6"/>
        <bgColor rgb="FFF4F7F6"/>
      </patternFill>
    </fill>
    <fill>
      <patternFill patternType="solid">
        <fgColor rgb="FF00B0F0"/>
        <bgColor rgb="FFF4F7F6"/>
      </patternFill>
    </fill>
    <fill>
      <patternFill patternType="solid">
        <fgColor theme="0" tint="-4.9989318521683403E-2"/>
        <bgColor rgb="FFF4F7F6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8" fillId="6" borderId="2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77" fontId="0" fillId="0" borderId="0" xfId="1" applyNumberFormat="1" applyFont="1" applyAlignment="1"/>
    <xf numFmtId="177" fontId="0" fillId="0" borderId="0" xfId="0" applyNumberFormat="1"/>
    <xf numFmtId="0" fontId="2" fillId="0" borderId="10" xfId="0" applyFont="1" applyBorder="1" applyAlignment="1">
      <alignment horizontal="right"/>
    </xf>
    <xf numFmtId="0" fontId="0" fillId="0" borderId="10" xfId="0" applyBorder="1"/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83" fontId="0" fillId="0" borderId="0" xfId="0" applyNumberFormat="1"/>
    <xf numFmtId="2" fontId="0" fillId="0" borderId="0" xfId="0" applyNumberFormat="1"/>
    <xf numFmtId="0" fontId="2" fillId="0" borderId="12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0" fillId="0" borderId="0" xfId="0" applyBorder="1"/>
    <xf numFmtId="183" fontId="0" fillId="0" borderId="13" xfId="0" applyNumberFormat="1" applyBorder="1"/>
    <xf numFmtId="183" fontId="0" fillId="0" borderId="14" xfId="0" applyNumberFormat="1" applyBorder="1"/>
    <xf numFmtId="183" fontId="0" fillId="0" borderId="15" xfId="0" applyNumberFormat="1" applyBorder="1"/>
    <xf numFmtId="183" fontId="0" fillId="0" borderId="16" xfId="0" applyNumberFormat="1" applyBorder="1"/>
    <xf numFmtId="183" fontId="0" fillId="0" borderId="0" xfId="0" applyNumberFormat="1" applyBorder="1"/>
    <xf numFmtId="183" fontId="0" fillId="0" borderId="17" xfId="0" applyNumberFormat="1" applyBorder="1"/>
    <xf numFmtId="183" fontId="0" fillId="0" borderId="18" xfId="0" applyNumberFormat="1" applyBorder="1"/>
    <xf numFmtId="183" fontId="0" fillId="0" borderId="19" xfId="0" applyNumberFormat="1" applyBorder="1"/>
    <xf numFmtId="183" fontId="0" fillId="0" borderId="20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3" fillId="0" borderId="0" xfId="0" applyFont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655599300087489E-2"/>
          <c:y val="0.14861111111111111"/>
          <c:w val="0.86733289588801399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convolution!$A$27</c:f>
              <c:strCache>
                <c:ptCount val="1"/>
                <c:pt idx="0">
                  <c:v>P(Z)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convolution!$B$25:$L$25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convolution!$B$27:$L$27</c:f>
              <c:numCache>
                <c:formatCode>0.000</c:formatCode>
                <c:ptCount val="11"/>
                <c:pt idx="0">
                  <c:v>2.7777777777777776E-2</c:v>
                </c:pt>
                <c:pt idx="1">
                  <c:v>5.5555555555555552E-2</c:v>
                </c:pt>
                <c:pt idx="2">
                  <c:v>8.3333333333333329E-2</c:v>
                </c:pt>
                <c:pt idx="3">
                  <c:v>0.1111111111111111</c:v>
                </c:pt>
                <c:pt idx="4">
                  <c:v>0.1388888888888889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0.1111111111111111</c:v>
                </c:pt>
                <c:pt idx="8">
                  <c:v>8.3333333333333329E-2</c:v>
                </c:pt>
                <c:pt idx="9">
                  <c:v>5.5555555555555552E-2</c:v>
                </c:pt>
                <c:pt idx="10">
                  <c:v>2.7777777777777776E-2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8-4DE6-BA5E-EF85CA2A0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93135"/>
        <c:axId val="1115688815"/>
      </c:barChart>
      <c:catAx>
        <c:axId val="111569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88815"/>
        <c:crosses val="autoZero"/>
        <c:auto val="1"/>
        <c:lblAlgn val="ctr"/>
        <c:lblOffset val="100"/>
        <c:noMultiLvlLbl val="0"/>
      </c:catAx>
      <c:valAx>
        <c:axId val="11156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9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627708326662383"/>
          <c:y val="0.27717544353703188"/>
          <c:w val="0.77152770060405829"/>
          <c:h val="0.52790763165305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convolution!$A$4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convolution!$B$3:$G$3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convolution!$B$4:$G$4</c:f>
              <c:numCache>
                <c:formatCode>_-* #,##0.00_-;\-* #,##0.00_-;_-* "-"_-;_-@_-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8-4DD9-9DBF-3B40B9234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87855"/>
        <c:axId val="1115680175"/>
      </c:barChart>
      <c:catAx>
        <c:axId val="11156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80175"/>
        <c:crosses val="autoZero"/>
        <c:auto val="1"/>
        <c:lblAlgn val="ctr"/>
        <c:lblOffset val="100"/>
        <c:noMultiLvlLbl val="0"/>
      </c:catAx>
      <c:valAx>
        <c:axId val="11156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8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convolution!$A$7</c:f>
              <c:strCache>
                <c:ptCount val="1"/>
                <c:pt idx="0">
                  <c:v>P(Y)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convolution!$B$6:$G$6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convolution!$B$7:$G$7</c:f>
              <c:numCache>
                <c:formatCode>_-* #,##0.00_-;\-* #,##0.00_-;_-* "-"_-;_-@_-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5-4673-B28D-FA4DCE9E6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90735"/>
        <c:axId val="1115696975"/>
      </c:barChart>
      <c:catAx>
        <c:axId val="11156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96975"/>
        <c:crosses val="autoZero"/>
        <c:auto val="1"/>
        <c:lblAlgn val="ctr"/>
        <c:lblOffset val="100"/>
        <c:noMultiLvlLbl val="0"/>
      </c:catAx>
      <c:valAx>
        <c:axId val="11156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69292</xdr:colOff>
      <xdr:row>2</xdr:row>
      <xdr:rowOff>47523</xdr:rowOff>
    </xdr:from>
    <xdr:to>
      <xdr:col>9</xdr:col>
      <xdr:colOff>660593</xdr:colOff>
      <xdr:row>6</xdr:row>
      <xdr:rowOff>183174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E332CF-B197-6285-9792-3DA8C94A2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0984" y="487138"/>
          <a:ext cx="1008936" cy="1014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271095</xdr:colOff>
      <xdr:row>22</xdr:row>
      <xdr:rowOff>146537</xdr:rowOff>
    </xdr:from>
    <xdr:to>
      <xdr:col>19</xdr:col>
      <xdr:colOff>51288</xdr:colOff>
      <xdr:row>32</xdr:row>
      <xdr:rowOff>219807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BE4ECC6-708D-B9BB-374D-38AF57DE7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249116</xdr:colOff>
      <xdr:row>1</xdr:row>
      <xdr:rowOff>124557</xdr:rowOff>
    </xdr:from>
    <xdr:to>
      <xdr:col>15</xdr:col>
      <xdr:colOff>46161</xdr:colOff>
      <xdr:row>8</xdr:row>
      <xdr:rowOff>148343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C183181-BECE-69B7-D318-80D56AB78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146540</xdr:colOff>
      <xdr:row>1</xdr:row>
      <xdr:rowOff>123092</xdr:rowOff>
    </xdr:from>
    <xdr:to>
      <xdr:col>19</xdr:col>
      <xdr:colOff>373673</xdr:colOff>
      <xdr:row>8</xdr:row>
      <xdr:rowOff>168519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E0AD48F-E235-A6CA-B445-6FD64D01C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BAFE-AF6D-4F6C-8747-0E71FF37AA1F}">
  <dimension ref="A2:T27"/>
  <sheetViews>
    <sheetView showGridLines="0" tabSelected="1" topLeftCell="A13" zoomScale="130" zoomScaleNormal="130" workbookViewId="0">
      <selection activeCell="T29" sqref="T29"/>
    </sheetView>
  </sheetViews>
  <sheetFormatPr defaultRowHeight="17.25" customHeight="1"/>
  <cols>
    <col min="1" max="1" width="16.28515625" style="24" customWidth="1"/>
    <col min="2" max="7" width="6.42578125" bestFit="1" customWidth="1"/>
    <col min="8" max="8" width="7.28515625" bestFit="1" customWidth="1"/>
    <col min="9" max="9" width="6.28515625" bestFit="1" customWidth="1"/>
    <col min="10" max="10" width="10.7109375" bestFit="1" customWidth="1"/>
    <col min="11" max="16" width="8.5703125" customWidth="1"/>
  </cols>
  <sheetData>
    <row r="2" spans="1:20" ht="17.25" customHeight="1">
      <c r="A2" s="30" t="s">
        <v>19</v>
      </c>
    </row>
    <row r="3" spans="1:20" ht="17.25" customHeight="1">
      <c r="A3" s="33" t="s">
        <v>12</v>
      </c>
      <c r="B3" s="28">
        <v>1</v>
      </c>
      <c r="C3" s="28">
        <v>2</v>
      </c>
      <c r="D3" s="28">
        <v>3</v>
      </c>
      <c r="E3" s="28">
        <v>4</v>
      </c>
      <c r="F3" s="28">
        <v>5</v>
      </c>
      <c r="G3" s="28">
        <v>6</v>
      </c>
      <c r="H3" s="27" t="s">
        <v>16</v>
      </c>
    </row>
    <row r="4" spans="1:20" ht="17.25" customHeight="1">
      <c r="A4" s="34" t="s">
        <v>14</v>
      </c>
      <c r="B4" s="25">
        <f>1/6</f>
        <v>0.16666666666666666</v>
      </c>
      <c r="C4" s="25">
        <f t="shared" ref="C4:G4" si="0">1/6</f>
        <v>0.16666666666666666</v>
      </c>
      <c r="D4" s="25">
        <f t="shared" si="0"/>
        <v>0.16666666666666666</v>
      </c>
      <c r="E4" s="25">
        <f t="shared" si="0"/>
        <v>0.16666666666666666</v>
      </c>
      <c r="F4" s="25">
        <f t="shared" si="0"/>
        <v>0.16666666666666666</v>
      </c>
      <c r="G4" s="25">
        <f t="shared" si="0"/>
        <v>0.16666666666666666</v>
      </c>
      <c r="H4" s="26">
        <f>SUM(B4:G4)</f>
        <v>0.99999999999999989</v>
      </c>
    </row>
    <row r="5" spans="1:20" ht="17.25" customHeight="1">
      <c r="A5"/>
    </row>
    <row r="6" spans="1:20" ht="17.25" customHeight="1">
      <c r="A6" s="33" t="s">
        <v>13</v>
      </c>
      <c r="B6" s="28">
        <v>1</v>
      </c>
      <c r="C6" s="28">
        <v>2</v>
      </c>
      <c r="D6" s="28">
        <v>3</v>
      </c>
      <c r="E6" s="28">
        <v>4</v>
      </c>
      <c r="F6" s="28">
        <v>5</v>
      </c>
      <c r="G6" s="28">
        <v>6</v>
      </c>
      <c r="H6" s="27" t="s">
        <v>16</v>
      </c>
    </row>
    <row r="7" spans="1:20" ht="17.25" customHeight="1">
      <c r="A7" s="34" t="s">
        <v>15</v>
      </c>
      <c r="B7" s="25">
        <f>1/6</f>
        <v>0.16666666666666666</v>
      </c>
      <c r="C7" s="25">
        <f t="shared" ref="C7:G7" si="1">1/6</f>
        <v>0.16666666666666666</v>
      </c>
      <c r="D7" s="25">
        <f t="shared" si="1"/>
        <v>0.16666666666666666</v>
      </c>
      <c r="E7" s="25">
        <f t="shared" si="1"/>
        <v>0.16666666666666666</v>
      </c>
      <c r="F7" s="25">
        <f t="shared" si="1"/>
        <v>0.16666666666666666</v>
      </c>
      <c r="G7" s="25">
        <f t="shared" si="1"/>
        <v>0.16666666666666666</v>
      </c>
      <c r="H7" s="26">
        <f>SUM(B7:G7)</f>
        <v>0.99999999999999989</v>
      </c>
    </row>
    <row r="10" spans="1:20" ht="17.25" customHeight="1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</row>
    <row r="12" spans="1:20" ht="17.25" customHeight="1">
      <c r="A12" s="30" t="s">
        <v>20</v>
      </c>
    </row>
    <row r="13" spans="1:20" ht="17.25" customHeight="1">
      <c r="A13" s="29" t="s">
        <v>18</v>
      </c>
      <c r="K13" s="53" t="s">
        <v>26</v>
      </c>
    </row>
    <row r="14" spans="1:20" ht="17.25" customHeight="1" thickBot="1">
      <c r="A14" s="23" t="s">
        <v>17</v>
      </c>
      <c r="B14" s="35">
        <v>1</v>
      </c>
      <c r="C14" s="35">
        <v>2</v>
      </c>
      <c r="D14" s="35">
        <v>3</v>
      </c>
      <c r="E14" s="35">
        <v>4</v>
      </c>
      <c r="F14" s="35">
        <v>5</v>
      </c>
      <c r="G14" s="35">
        <v>6</v>
      </c>
      <c r="L14" s="35">
        <v>1</v>
      </c>
      <c r="M14" s="35">
        <v>2</v>
      </c>
      <c r="N14" s="35">
        <v>3</v>
      </c>
      <c r="O14" s="35">
        <v>4</v>
      </c>
      <c r="P14" s="35">
        <v>5</v>
      </c>
      <c r="Q14" s="35">
        <v>6</v>
      </c>
    </row>
    <row r="15" spans="1:20" ht="17.25" customHeight="1">
      <c r="A15" s="28">
        <v>1</v>
      </c>
      <c r="B15" s="36">
        <f>1/6^2</f>
        <v>2.7777777777777776E-2</v>
      </c>
      <c r="C15" s="37">
        <f t="shared" ref="C15:G20" si="2">1/6^2</f>
        <v>2.7777777777777776E-2</v>
      </c>
      <c r="D15" s="37">
        <f t="shared" si="2"/>
        <v>2.7777777777777776E-2</v>
      </c>
      <c r="E15" s="37">
        <f t="shared" si="2"/>
        <v>2.7777777777777776E-2</v>
      </c>
      <c r="F15" s="37">
        <f t="shared" si="2"/>
        <v>2.7777777777777776E-2</v>
      </c>
      <c r="G15" s="38">
        <f t="shared" si="2"/>
        <v>2.7777777777777776E-2</v>
      </c>
      <c r="H15" s="32">
        <f>SUM(B15:G15)</f>
        <v>0.16666666666666669</v>
      </c>
      <c r="K15" s="28">
        <v>1</v>
      </c>
      <c r="L15" s="45">
        <f>$K15+L$14</f>
        <v>2</v>
      </c>
      <c r="M15" s="46">
        <f t="shared" ref="M15:Q20" si="3">$K15+M$14</f>
        <v>3</v>
      </c>
      <c r="N15" s="46">
        <f t="shared" si="3"/>
        <v>4</v>
      </c>
      <c r="O15" s="46">
        <f t="shared" si="3"/>
        <v>5</v>
      </c>
      <c r="P15" s="46">
        <f t="shared" si="3"/>
        <v>6</v>
      </c>
      <c r="Q15" s="47">
        <f t="shared" si="3"/>
        <v>7</v>
      </c>
    </row>
    <row r="16" spans="1:20" ht="17.25" customHeight="1">
      <c r="A16" s="28">
        <v>2</v>
      </c>
      <c r="B16" s="39">
        <f t="shared" ref="B16:B20" si="4">1/6^2</f>
        <v>2.7777777777777776E-2</v>
      </c>
      <c r="C16" s="40">
        <f t="shared" si="2"/>
        <v>2.7777777777777776E-2</v>
      </c>
      <c r="D16" s="40">
        <f t="shared" si="2"/>
        <v>2.7777777777777776E-2</v>
      </c>
      <c r="E16" s="40">
        <f t="shared" si="2"/>
        <v>2.7777777777777776E-2</v>
      </c>
      <c r="F16" s="40">
        <f t="shared" si="2"/>
        <v>2.7777777777777776E-2</v>
      </c>
      <c r="G16" s="41">
        <f t="shared" si="2"/>
        <v>2.7777777777777776E-2</v>
      </c>
      <c r="H16" s="32">
        <f t="shared" ref="H16:H20" si="5">SUM(B16:G16)</f>
        <v>0.16666666666666669</v>
      </c>
      <c r="K16" s="28">
        <v>2</v>
      </c>
      <c r="L16" s="48">
        <f t="shared" ref="L16:L20" si="6">$K16+L$14</f>
        <v>3</v>
      </c>
      <c r="M16" s="35">
        <f t="shared" si="3"/>
        <v>4</v>
      </c>
      <c r="N16" s="35">
        <f t="shared" si="3"/>
        <v>5</v>
      </c>
      <c r="O16" s="35">
        <f t="shared" si="3"/>
        <v>6</v>
      </c>
      <c r="P16" s="35">
        <f t="shared" si="3"/>
        <v>7</v>
      </c>
      <c r="Q16" s="49">
        <f t="shared" si="3"/>
        <v>8</v>
      </c>
    </row>
    <row r="17" spans="1:17" ht="17.25" customHeight="1">
      <c r="A17" s="28">
        <v>3</v>
      </c>
      <c r="B17" s="39">
        <f t="shared" si="4"/>
        <v>2.7777777777777776E-2</v>
      </c>
      <c r="C17" s="40">
        <f t="shared" si="2"/>
        <v>2.7777777777777776E-2</v>
      </c>
      <c r="D17" s="40">
        <f t="shared" si="2"/>
        <v>2.7777777777777776E-2</v>
      </c>
      <c r="E17" s="40">
        <f t="shared" si="2"/>
        <v>2.7777777777777776E-2</v>
      </c>
      <c r="F17" s="40">
        <f t="shared" si="2"/>
        <v>2.7777777777777776E-2</v>
      </c>
      <c r="G17" s="41">
        <f t="shared" si="2"/>
        <v>2.7777777777777776E-2</v>
      </c>
      <c r="H17" s="32">
        <f t="shared" si="5"/>
        <v>0.16666666666666669</v>
      </c>
      <c r="K17" s="28">
        <v>3</v>
      </c>
      <c r="L17" s="48">
        <f t="shared" si="6"/>
        <v>4</v>
      </c>
      <c r="M17" s="35">
        <f t="shared" si="3"/>
        <v>5</v>
      </c>
      <c r="N17" s="35">
        <f t="shared" si="3"/>
        <v>6</v>
      </c>
      <c r="O17" s="35">
        <f t="shared" si="3"/>
        <v>7</v>
      </c>
      <c r="P17" s="35">
        <f t="shared" si="3"/>
        <v>8</v>
      </c>
      <c r="Q17" s="49">
        <f t="shared" si="3"/>
        <v>9</v>
      </c>
    </row>
    <row r="18" spans="1:17" ht="17.25" customHeight="1">
      <c r="A18" s="28">
        <v>4</v>
      </c>
      <c r="B18" s="39">
        <f t="shared" si="4"/>
        <v>2.7777777777777776E-2</v>
      </c>
      <c r="C18" s="40">
        <f t="shared" si="2"/>
        <v>2.7777777777777776E-2</v>
      </c>
      <c r="D18" s="40">
        <f t="shared" si="2"/>
        <v>2.7777777777777776E-2</v>
      </c>
      <c r="E18" s="40">
        <f t="shared" si="2"/>
        <v>2.7777777777777776E-2</v>
      </c>
      <c r="F18" s="40">
        <f t="shared" si="2"/>
        <v>2.7777777777777776E-2</v>
      </c>
      <c r="G18" s="41">
        <f t="shared" si="2"/>
        <v>2.7777777777777776E-2</v>
      </c>
      <c r="H18" s="32">
        <f t="shared" si="5"/>
        <v>0.16666666666666669</v>
      </c>
      <c r="K18" s="28">
        <v>4</v>
      </c>
      <c r="L18" s="48">
        <f t="shared" si="6"/>
        <v>5</v>
      </c>
      <c r="M18" s="35">
        <f t="shared" si="3"/>
        <v>6</v>
      </c>
      <c r="N18" s="35">
        <f t="shared" si="3"/>
        <v>7</v>
      </c>
      <c r="O18" s="35">
        <f t="shared" si="3"/>
        <v>8</v>
      </c>
      <c r="P18" s="35">
        <f t="shared" si="3"/>
        <v>9</v>
      </c>
      <c r="Q18" s="49">
        <f t="shared" si="3"/>
        <v>10</v>
      </c>
    </row>
    <row r="19" spans="1:17" ht="17.25" customHeight="1">
      <c r="A19" s="28">
        <v>5</v>
      </c>
      <c r="B19" s="39">
        <f t="shared" si="4"/>
        <v>2.7777777777777776E-2</v>
      </c>
      <c r="C19" s="40">
        <f t="shared" si="2"/>
        <v>2.7777777777777776E-2</v>
      </c>
      <c r="D19" s="40">
        <f t="shared" si="2"/>
        <v>2.7777777777777776E-2</v>
      </c>
      <c r="E19" s="40">
        <f t="shared" si="2"/>
        <v>2.7777777777777776E-2</v>
      </c>
      <c r="F19" s="40">
        <f t="shared" si="2"/>
        <v>2.7777777777777776E-2</v>
      </c>
      <c r="G19" s="41">
        <f t="shared" si="2"/>
        <v>2.7777777777777776E-2</v>
      </c>
      <c r="H19" s="32">
        <f t="shared" si="5"/>
        <v>0.16666666666666669</v>
      </c>
      <c r="K19" s="28">
        <v>5</v>
      </c>
      <c r="L19" s="48">
        <f t="shared" si="6"/>
        <v>6</v>
      </c>
      <c r="M19" s="35">
        <f t="shared" si="3"/>
        <v>7</v>
      </c>
      <c r="N19" s="35">
        <f t="shared" si="3"/>
        <v>8</v>
      </c>
      <c r="O19" s="35">
        <f t="shared" si="3"/>
        <v>9</v>
      </c>
      <c r="P19" s="35">
        <f t="shared" si="3"/>
        <v>10</v>
      </c>
      <c r="Q19" s="49">
        <f t="shared" si="3"/>
        <v>11</v>
      </c>
    </row>
    <row r="20" spans="1:17" ht="17.25" customHeight="1" thickBot="1">
      <c r="A20" s="28">
        <v>6</v>
      </c>
      <c r="B20" s="42">
        <f t="shared" si="4"/>
        <v>2.7777777777777776E-2</v>
      </c>
      <c r="C20" s="43">
        <f t="shared" si="2"/>
        <v>2.7777777777777776E-2</v>
      </c>
      <c r="D20" s="43">
        <f t="shared" si="2"/>
        <v>2.7777777777777776E-2</v>
      </c>
      <c r="E20" s="43">
        <f t="shared" si="2"/>
        <v>2.7777777777777776E-2</v>
      </c>
      <c r="F20" s="43">
        <f t="shared" si="2"/>
        <v>2.7777777777777776E-2</v>
      </c>
      <c r="G20" s="44">
        <f t="shared" si="2"/>
        <v>2.7777777777777776E-2</v>
      </c>
      <c r="H20" s="32">
        <f t="shared" si="5"/>
        <v>0.16666666666666669</v>
      </c>
      <c r="K20" s="28">
        <v>6</v>
      </c>
      <c r="L20" s="50">
        <f t="shared" si="6"/>
        <v>7</v>
      </c>
      <c r="M20" s="51">
        <f t="shared" si="3"/>
        <v>8</v>
      </c>
      <c r="N20" s="51">
        <f t="shared" si="3"/>
        <v>9</v>
      </c>
      <c r="O20" s="51">
        <f t="shared" si="3"/>
        <v>10</v>
      </c>
      <c r="P20" s="51">
        <f t="shared" si="3"/>
        <v>11</v>
      </c>
      <c r="Q20" s="52">
        <f t="shared" si="3"/>
        <v>12</v>
      </c>
    </row>
    <row r="21" spans="1:17" ht="17.25" customHeight="1">
      <c r="B21" s="31">
        <f>SUM(B15:B20)</f>
        <v>0.16666666666666669</v>
      </c>
      <c r="C21" s="31">
        <f t="shared" ref="C21:G21" si="7">SUM(C15:C20)</f>
        <v>0.16666666666666669</v>
      </c>
      <c r="D21" s="31">
        <f t="shared" si="7"/>
        <v>0.16666666666666669</v>
      </c>
      <c r="E21" s="31">
        <f t="shared" si="7"/>
        <v>0.16666666666666669</v>
      </c>
      <c r="F21" s="31">
        <f t="shared" si="7"/>
        <v>0.16666666666666669</v>
      </c>
      <c r="G21" s="31">
        <f t="shared" si="7"/>
        <v>0.16666666666666669</v>
      </c>
      <c r="H21" s="32">
        <f>SUM(B15:G20)</f>
        <v>1.0000000000000002</v>
      </c>
    </row>
    <row r="22" spans="1:17" ht="17.25" customHeight="1">
      <c r="H22" s="32"/>
    </row>
    <row r="23" spans="1:17" ht="17.25" customHeight="1">
      <c r="A23" s="30" t="s">
        <v>25</v>
      </c>
    </row>
    <row r="24" spans="1:17" ht="17.25" customHeight="1">
      <c r="A24" s="29" t="s">
        <v>21</v>
      </c>
    </row>
    <row r="25" spans="1:17" ht="17.25" customHeight="1">
      <c r="A25" s="33" t="s">
        <v>23</v>
      </c>
      <c r="B25" s="28">
        <v>2</v>
      </c>
      <c r="C25" s="28">
        <v>3</v>
      </c>
      <c r="D25" s="28">
        <v>4</v>
      </c>
      <c r="E25" s="28">
        <v>5</v>
      </c>
      <c r="F25" s="28">
        <v>6</v>
      </c>
      <c r="G25" s="28">
        <v>7</v>
      </c>
      <c r="H25" s="28">
        <v>8</v>
      </c>
      <c r="I25" s="28">
        <v>9</v>
      </c>
      <c r="J25" s="28">
        <v>10</v>
      </c>
      <c r="K25" s="28">
        <v>11</v>
      </c>
      <c r="L25" s="28">
        <v>12</v>
      </c>
    </row>
    <row r="26" spans="1:17" ht="17.25" customHeight="1">
      <c r="A26" s="34" t="s">
        <v>24</v>
      </c>
      <c r="B26">
        <f>COUNTIF($L$15:$Q$20, B25)</f>
        <v>1</v>
      </c>
      <c r="C26">
        <f t="shared" ref="C26:L26" si="8">COUNTIF($L$15:$Q$20, C25)</f>
        <v>2</v>
      </c>
      <c r="D26">
        <f t="shared" si="8"/>
        <v>3</v>
      </c>
      <c r="E26">
        <f t="shared" si="8"/>
        <v>4</v>
      </c>
      <c r="F26">
        <f t="shared" si="8"/>
        <v>5</v>
      </c>
      <c r="G26">
        <f t="shared" si="8"/>
        <v>6</v>
      </c>
      <c r="H26">
        <f t="shared" si="8"/>
        <v>5</v>
      </c>
      <c r="I26">
        <f t="shared" si="8"/>
        <v>4</v>
      </c>
      <c r="J26">
        <f t="shared" si="8"/>
        <v>3</v>
      </c>
      <c r="K26">
        <f t="shared" si="8"/>
        <v>2</v>
      </c>
      <c r="L26">
        <f t="shared" si="8"/>
        <v>1</v>
      </c>
    </row>
    <row r="27" spans="1:17" ht="17.25" customHeight="1">
      <c r="A27" s="34" t="s">
        <v>22</v>
      </c>
      <c r="B27" s="31">
        <f>B26/COUNT($L$15:$Q$20)</f>
        <v>2.7777777777777776E-2</v>
      </c>
      <c r="C27" s="31">
        <f t="shared" ref="C27:L27" si="9">C26/COUNT($L$15:$Q$20)</f>
        <v>5.5555555555555552E-2</v>
      </c>
      <c r="D27" s="31">
        <f t="shared" si="9"/>
        <v>8.3333333333333329E-2</v>
      </c>
      <c r="E27" s="31">
        <f t="shared" si="9"/>
        <v>0.1111111111111111</v>
      </c>
      <c r="F27" s="31">
        <f t="shared" si="9"/>
        <v>0.1388888888888889</v>
      </c>
      <c r="G27" s="31">
        <f t="shared" si="9"/>
        <v>0.16666666666666666</v>
      </c>
      <c r="H27" s="31">
        <f t="shared" si="9"/>
        <v>0.1388888888888889</v>
      </c>
      <c r="I27" s="31">
        <f t="shared" si="9"/>
        <v>0.1111111111111111</v>
      </c>
      <c r="J27" s="31">
        <f t="shared" si="9"/>
        <v>8.3333333333333329E-2</v>
      </c>
      <c r="K27" s="31">
        <f t="shared" si="9"/>
        <v>5.5555555555555552E-2</v>
      </c>
      <c r="L27" s="31">
        <f t="shared" si="9"/>
        <v>2.7777777777777776E-2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Y49"/>
  <sheetViews>
    <sheetView showGridLines="0" workbookViewId="0">
      <selection activeCell="L9" sqref="L9"/>
    </sheetView>
  </sheetViews>
  <sheetFormatPr defaultColWidth="6.42578125" defaultRowHeight="15.75" customHeight="1"/>
  <sheetData>
    <row r="2" spans="2:25">
      <c r="B2" s="2">
        <f>1</f>
        <v>1</v>
      </c>
      <c r="C2" s="2">
        <f t="shared" ref="C2:I2" si="0">B2+1</f>
        <v>2</v>
      </c>
      <c r="D2" s="2">
        <f t="shared" si="0"/>
        <v>3</v>
      </c>
      <c r="E2" s="2">
        <f t="shared" si="0"/>
        <v>4</v>
      </c>
      <c r="F2" s="2">
        <f t="shared" si="0"/>
        <v>5</v>
      </c>
      <c r="G2" s="2">
        <f t="shared" si="0"/>
        <v>6</v>
      </c>
      <c r="H2" s="2">
        <f t="shared" si="0"/>
        <v>7</v>
      </c>
      <c r="I2" s="2">
        <f t="shared" si="0"/>
        <v>8</v>
      </c>
      <c r="S2" s="2"/>
      <c r="T2" s="2">
        <f t="shared" ref="T2:Y2" si="1">SUMPRODUCT(B2:D4*$M$7:$O$9)</f>
        <v>9</v>
      </c>
      <c r="U2" s="2">
        <f t="shared" si="1"/>
        <v>12</v>
      </c>
      <c r="V2" s="2">
        <f t="shared" si="1"/>
        <v>15</v>
      </c>
      <c r="W2" s="2">
        <f t="shared" si="1"/>
        <v>18</v>
      </c>
      <c r="X2" s="2">
        <f t="shared" si="1"/>
        <v>21</v>
      </c>
      <c r="Y2" s="2">
        <f t="shared" si="1"/>
        <v>24</v>
      </c>
    </row>
    <row r="3" spans="2:25">
      <c r="B3" s="2">
        <f t="shared" ref="B3:I3" si="2">B2+1</f>
        <v>2</v>
      </c>
      <c r="C3" s="2">
        <f t="shared" si="2"/>
        <v>3</v>
      </c>
      <c r="D3" s="2">
        <f t="shared" si="2"/>
        <v>4</v>
      </c>
      <c r="E3" s="2">
        <f t="shared" si="2"/>
        <v>5</v>
      </c>
      <c r="F3" s="2">
        <f t="shared" si="2"/>
        <v>6</v>
      </c>
      <c r="G3" s="2">
        <f t="shared" si="2"/>
        <v>7</v>
      </c>
      <c r="H3" s="2">
        <f t="shared" si="2"/>
        <v>8</v>
      </c>
      <c r="I3" s="2">
        <f t="shared" si="2"/>
        <v>9</v>
      </c>
      <c r="S3" s="2"/>
      <c r="T3" s="2">
        <f t="shared" ref="T3:Y3" si="3">SUMPRODUCT(B3:D5*$M$7:$O$9)</f>
        <v>12</v>
      </c>
      <c r="U3" s="2">
        <f t="shared" si="3"/>
        <v>15</v>
      </c>
      <c r="V3" s="2">
        <f t="shared" si="3"/>
        <v>18</v>
      </c>
      <c r="W3" s="2">
        <f t="shared" si="3"/>
        <v>21</v>
      </c>
      <c r="X3" s="2">
        <f t="shared" si="3"/>
        <v>24</v>
      </c>
      <c r="Y3" s="2">
        <f t="shared" si="3"/>
        <v>27</v>
      </c>
    </row>
    <row r="4" spans="2:25">
      <c r="B4" s="2">
        <f t="shared" ref="B4:I4" si="4">B3+1</f>
        <v>3</v>
      </c>
      <c r="C4" s="2">
        <f t="shared" si="4"/>
        <v>4</v>
      </c>
      <c r="D4" s="2">
        <f t="shared" si="4"/>
        <v>5</v>
      </c>
      <c r="E4" s="2">
        <f t="shared" si="4"/>
        <v>6</v>
      </c>
      <c r="F4" s="2">
        <f t="shared" si="4"/>
        <v>7</v>
      </c>
      <c r="G4" s="2">
        <f t="shared" si="4"/>
        <v>8</v>
      </c>
      <c r="H4" s="2">
        <f t="shared" si="4"/>
        <v>9</v>
      </c>
      <c r="I4" s="2">
        <f t="shared" si="4"/>
        <v>10</v>
      </c>
      <c r="S4" s="2"/>
      <c r="T4" s="2">
        <f t="shared" ref="T4:Y4" si="5">SUMPRODUCT(B4:D6*$M$7:$O$9)</f>
        <v>15</v>
      </c>
      <c r="U4" s="2">
        <f t="shared" si="5"/>
        <v>18</v>
      </c>
      <c r="V4" s="2">
        <f t="shared" si="5"/>
        <v>21</v>
      </c>
      <c r="W4" s="2">
        <f t="shared" si="5"/>
        <v>24</v>
      </c>
      <c r="X4" s="2">
        <f t="shared" si="5"/>
        <v>27</v>
      </c>
      <c r="Y4" s="2">
        <f t="shared" si="5"/>
        <v>30</v>
      </c>
    </row>
    <row r="5" spans="2:25">
      <c r="B5" s="2">
        <f t="shared" ref="B5:I5" si="6">B4+1</f>
        <v>4</v>
      </c>
      <c r="C5" s="2">
        <f t="shared" si="6"/>
        <v>5</v>
      </c>
      <c r="D5" s="2">
        <f t="shared" si="6"/>
        <v>6</v>
      </c>
      <c r="E5" s="2">
        <f t="shared" si="6"/>
        <v>7</v>
      </c>
      <c r="F5" s="2">
        <f t="shared" si="6"/>
        <v>8</v>
      </c>
      <c r="G5" s="2">
        <f t="shared" si="6"/>
        <v>9</v>
      </c>
      <c r="H5" s="2">
        <f t="shared" si="6"/>
        <v>10</v>
      </c>
      <c r="I5" s="2">
        <f t="shared" si="6"/>
        <v>11</v>
      </c>
      <c r="S5" s="2"/>
      <c r="T5" s="2">
        <f t="shared" ref="T5:Y5" si="7">SUMPRODUCT(B5:D7*$M$7:$O$9)</f>
        <v>18</v>
      </c>
      <c r="U5" s="2">
        <f t="shared" si="7"/>
        <v>21</v>
      </c>
      <c r="V5" s="2">
        <f t="shared" si="7"/>
        <v>24</v>
      </c>
      <c r="W5" s="2">
        <f t="shared" si="7"/>
        <v>27</v>
      </c>
      <c r="X5" s="2">
        <f t="shared" si="7"/>
        <v>30</v>
      </c>
      <c r="Y5" s="2">
        <f t="shared" si="7"/>
        <v>33</v>
      </c>
    </row>
    <row r="6" spans="2:25">
      <c r="B6" s="2">
        <f t="shared" ref="B6:I6" si="8">B5+1</f>
        <v>5</v>
      </c>
      <c r="C6" s="2">
        <f t="shared" si="8"/>
        <v>6</v>
      </c>
      <c r="D6" s="2">
        <f t="shared" si="8"/>
        <v>7</v>
      </c>
      <c r="E6" s="2">
        <f t="shared" si="8"/>
        <v>8</v>
      </c>
      <c r="F6" s="2">
        <f t="shared" si="8"/>
        <v>9</v>
      </c>
      <c r="G6" s="2">
        <f t="shared" si="8"/>
        <v>10</v>
      </c>
      <c r="H6" s="2">
        <f t="shared" si="8"/>
        <v>11</v>
      </c>
      <c r="I6" s="2">
        <f t="shared" si="8"/>
        <v>12</v>
      </c>
      <c r="S6" s="2"/>
      <c r="T6" s="2">
        <f t="shared" ref="T6:Y6" si="9">SUMPRODUCT(B6:D8*$M$7:$O$9)</f>
        <v>21</v>
      </c>
      <c r="U6" s="2">
        <f t="shared" si="9"/>
        <v>24</v>
      </c>
      <c r="V6" s="2">
        <f t="shared" si="9"/>
        <v>27</v>
      </c>
      <c r="W6" s="2">
        <f t="shared" si="9"/>
        <v>30</v>
      </c>
      <c r="X6" s="2">
        <f t="shared" si="9"/>
        <v>33</v>
      </c>
      <c r="Y6" s="2">
        <f t="shared" si="9"/>
        <v>36</v>
      </c>
    </row>
    <row r="7" spans="2:25">
      <c r="B7" s="2">
        <f t="shared" ref="B7:I7" si="10">B6+1</f>
        <v>6</v>
      </c>
      <c r="C7" s="2">
        <f t="shared" si="10"/>
        <v>7</v>
      </c>
      <c r="D7" s="2">
        <f t="shared" si="10"/>
        <v>8</v>
      </c>
      <c r="E7" s="2">
        <f t="shared" si="10"/>
        <v>9</v>
      </c>
      <c r="F7" s="2">
        <f t="shared" si="10"/>
        <v>10</v>
      </c>
      <c r="G7" s="2">
        <f t="shared" si="10"/>
        <v>11</v>
      </c>
      <c r="H7" s="2">
        <f t="shared" si="10"/>
        <v>12</v>
      </c>
      <c r="I7" s="2">
        <f t="shared" si="10"/>
        <v>13</v>
      </c>
      <c r="M7" s="2">
        <v>1</v>
      </c>
      <c r="N7" s="2">
        <v>0</v>
      </c>
      <c r="O7" s="2">
        <v>0</v>
      </c>
      <c r="S7" s="2"/>
      <c r="T7" s="2">
        <f t="shared" ref="T7:Y7" si="11">SUMPRODUCT(B7:D9*$M$7:$O$9)</f>
        <v>24</v>
      </c>
      <c r="U7" s="2">
        <f t="shared" si="11"/>
        <v>27</v>
      </c>
      <c r="V7" s="2">
        <f t="shared" si="11"/>
        <v>30</v>
      </c>
      <c r="W7" s="2">
        <f t="shared" si="11"/>
        <v>33</v>
      </c>
      <c r="X7" s="2">
        <f t="shared" si="11"/>
        <v>36</v>
      </c>
      <c r="Y7" s="2">
        <f t="shared" si="11"/>
        <v>39</v>
      </c>
    </row>
    <row r="8" spans="2:25">
      <c r="B8" s="2">
        <f t="shared" ref="B8:I8" si="12">B7+1</f>
        <v>7</v>
      </c>
      <c r="C8" s="2">
        <f t="shared" si="12"/>
        <v>8</v>
      </c>
      <c r="D8" s="2">
        <f t="shared" si="12"/>
        <v>9</v>
      </c>
      <c r="E8" s="2">
        <f t="shared" si="12"/>
        <v>10</v>
      </c>
      <c r="F8" s="2">
        <f t="shared" si="12"/>
        <v>11</v>
      </c>
      <c r="G8" s="2">
        <f t="shared" si="12"/>
        <v>12</v>
      </c>
      <c r="H8" s="2">
        <f t="shared" si="12"/>
        <v>13</v>
      </c>
      <c r="I8" s="2">
        <f t="shared" si="12"/>
        <v>14</v>
      </c>
      <c r="M8" s="2">
        <v>0</v>
      </c>
      <c r="N8" s="2">
        <v>1</v>
      </c>
      <c r="O8" s="2">
        <v>0</v>
      </c>
      <c r="S8" s="2"/>
      <c r="T8" s="2">
        <f t="shared" ref="T8:Y8" si="13">SUMPRODUCT(B8:D10*$M$7:$O$9)</f>
        <v>27</v>
      </c>
      <c r="U8" s="2">
        <f t="shared" si="13"/>
        <v>30</v>
      </c>
      <c r="V8" s="2">
        <f t="shared" si="13"/>
        <v>33</v>
      </c>
      <c r="W8" s="2">
        <f t="shared" si="13"/>
        <v>36</v>
      </c>
      <c r="X8" s="2">
        <f t="shared" si="13"/>
        <v>39</v>
      </c>
      <c r="Y8" s="2">
        <f t="shared" si="13"/>
        <v>42</v>
      </c>
    </row>
    <row r="9" spans="2:25">
      <c r="B9" s="2">
        <f t="shared" ref="B9:I9" si="14">B8+1</f>
        <v>8</v>
      </c>
      <c r="C9" s="2">
        <f t="shared" si="14"/>
        <v>9</v>
      </c>
      <c r="D9" s="2">
        <f t="shared" si="14"/>
        <v>10</v>
      </c>
      <c r="E9" s="2">
        <f t="shared" si="14"/>
        <v>11</v>
      </c>
      <c r="F9" s="2">
        <f t="shared" si="14"/>
        <v>12</v>
      </c>
      <c r="G9" s="2">
        <f t="shared" si="14"/>
        <v>13</v>
      </c>
      <c r="H9" s="2">
        <f t="shared" si="14"/>
        <v>14</v>
      </c>
      <c r="I9" s="2">
        <f t="shared" si="14"/>
        <v>15</v>
      </c>
      <c r="M9" s="2">
        <v>0</v>
      </c>
      <c r="N9" s="2">
        <v>0</v>
      </c>
      <c r="O9" s="2">
        <v>1</v>
      </c>
      <c r="S9" s="2"/>
      <c r="T9" s="2">
        <f t="shared" ref="T9:Y9" si="15">SUMPRODUCT(B9:D11*$M$7:$O$9)</f>
        <v>30</v>
      </c>
      <c r="U9" s="2">
        <f t="shared" si="15"/>
        <v>33</v>
      </c>
      <c r="V9" s="2">
        <f t="shared" si="15"/>
        <v>36</v>
      </c>
      <c r="W9" s="2">
        <f t="shared" si="15"/>
        <v>39</v>
      </c>
      <c r="X9" s="2">
        <f t="shared" si="15"/>
        <v>42</v>
      </c>
      <c r="Y9" s="2">
        <f t="shared" si="15"/>
        <v>45</v>
      </c>
    </row>
    <row r="10" spans="2:25">
      <c r="B10" s="2">
        <f t="shared" ref="B10:I10" si="16">B9+1</f>
        <v>9</v>
      </c>
      <c r="C10" s="2">
        <f t="shared" si="16"/>
        <v>10</v>
      </c>
      <c r="D10" s="2">
        <f t="shared" si="16"/>
        <v>11</v>
      </c>
      <c r="E10" s="2">
        <f t="shared" si="16"/>
        <v>12</v>
      </c>
      <c r="F10" s="2">
        <f t="shared" si="16"/>
        <v>13</v>
      </c>
      <c r="G10" s="2">
        <f t="shared" si="16"/>
        <v>14</v>
      </c>
      <c r="H10" s="2">
        <f t="shared" si="16"/>
        <v>15</v>
      </c>
      <c r="I10" s="2">
        <f t="shared" si="16"/>
        <v>16</v>
      </c>
      <c r="S10" s="2"/>
      <c r="T10" s="2">
        <f t="shared" ref="T10:Y10" si="17">SUMPRODUCT(B10:D12*$M$7:$O$9)</f>
        <v>33</v>
      </c>
      <c r="U10" s="2">
        <f t="shared" si="17"/>
        <v>36</v>
      </c>
      <c r="V10" s="2">
        <f t="shared" si="17"/>
        <v>39</v>
      </c>
      <c r="W10" s="2">
        <f t="shared" si="17"/>
        <v>42</v>
      </c>
      <c r="X10" s="2">
        <f t="shared" si="17"/>
        <v>45</v>
      </c>
      <c r="Y10" s="2">
        <f t="shared" si="17"/>
        <v>48</v>
      </c>
    </row>
    <row r="11" spans="2:25">
      <c r="B11" s="2">
        <f t="shared" ref="B11:I11" si="18">B10+1</f>
        <v>10</v>
      </c>
      <c r="C11" s="2">
        <f t="shared" si="18"/>
        <v>11</v>
      </c>
      <c r="D11" s="2">
        <f t="shared" si="18"/>
        <v>12</v>
      </c>
      <c r="E11" s="2">
        <f t="shared" si="18"/>
        <v>13</v>
      </c>
      <c r="F11" s="2">
        <f t="shared" si="18"/>
        <v>14</v>
      </c>
      <c r="G11" s="2">
        <f t="shared" si="18"/>
        <v>15</v>
      </c>
      <c r="H11" s="2">
        <f t="shared" si="18"/>
        <v>16</v>
      </c>
      <c r="I11" s="2">
        <f t="shared" si="18"/>
        <v>17</v>
      </c>
      <c r="S11" s="2"/>
      <c r="T11" s="2">
        <f t="shared" ref="T11:Y11" si="19">SUMPRODUCT(B11:D13*$M$7:$O$9)</f>
        <v>36</v>
      </c>
      <c r="U11" s="2">
        <f t="shared" si="19"/>
        <v>39</v>
      </c>
      <c r="V11" s="2">
        <f t="shared" si="19"/>
        <v>42</v>
      </c>
      <c r="W11" s="2">
        <f t="shared" si="19"/>
        <v>45</v>
      </c>
      <c r="X11" s="2">
        <f t="shared" si="19"/>
        <v>48</v>
      </c>
      <c r="Y11" s="2">
        <f t="shared" si="19"/>
        <v>51</v>
      </c>
    </row>
    <row r="12" spans="2:25">
      <c r="B12" s="2">
        <f t="shared" ref="B12:I12" si="20">B11+1</f>
        <v>11</v>
      </c>
      <c r="C12" s="2">
        <f t="shared" si="20"/>
        <v>12</v>
      </c>
      <c r="D12" s="2">
        <f t="shared" si="20"/>
        <v>13</v>
      </c>
      <c r="E12" s="2">
        <f t="shared" si="20"/>
        <v>14</v>
      </c>
      <c r="F12" s="2">
        <f t="shared" si="20"/>
        <v>15</v>
      </c>
      <c r="G12" s="2">
        <f t="shared" si="20"/>
        <v>16</v>
      </c>
      <c r="H12" s="2">
        <f t="shared" si="20"/>
        <v>17</v>
      </c>
      <c r="I12" s="2">
        <f t="shared" si="20"/>
        <v>18</v>
      </c>
      <c r="S12" s="2"/>
      <c r="T12" s="2">
        <f t="shared" ref="T12:Y12" si="21">SUMPRODUCT(B12:D14*$M$7:$O$9)</f>
        <v>39</v>
      </c>
      <c r="U12" s="2">
        <f t="shared" si="21"/>
        <v>42</v>
      </c>
      <c r="V12" s="2">
        <f t="shared" si="21"/>
        <v>45</v>
      </c>
      <c r="W12" s="2">
        <f t="shared" si="21"/>
        <v>48</v>
      </c>
      <c r="X12" s="2">
        <f t="shared" si="21"/>
        <v>51</v>
      </c>
      <c r="Y12" s="2">
        <f t="shared" si="21"/>
        <v>54</v>
      </c>
    </row>
    <row r="13" spans="2:25">
      <c r="B13" s="2">
        <f t="shared" ref="B13:I13" si="22">B12+1</f>
        <v>12</v>
      </c>
      <c r="C13" s="2">
        <f t="shared" si="22"/>
        <v>13</v>
      </c>
      <c r="D13" s="2">
        <f t="shared" si="22"/>
        <v>14</v>
      </c>
      <c r="E13" s="2">
        <f t="shared" si="22"/>
        <v>15</v>
      </c>
      <c r="F13" s="2">
        <f t="shared" si="22"/>
        <v>16</v>
      </c>
      <c r="G13" s="2">
        <f t="shared" si="22"/>
        <v>17</v>
      </c>
      <c r="H13" s="2">
        <f t="shared" si="22"/>
        <v>18</v>
      </c>
      <c r="I13" s="2">
        <f t="shared" si="22"/>
        <v>19</v>
      </c>
      <c r="S13" s="2"/>
      <c r="T13" s="2">
        <f t="shared" ref="T13:Y13" si="23">SUMPRODUCT(B13:D15*$M$7:$O$9)</f>
        <v>42</v>
      </c>
      <c r="U13" s="2">
        <f t="shared" si="23"/>
        <v>45</v>
      </c>
      <c r="V13" s="2">
        <f t="shared" si="23"/>
        <v>48</v>
      </c>
      <c r="W13" s="2">
        <f t="shared" si="23"/>
        <v>51</v>
      </c>
      <c r="X13" s="2">
        <f t="shared" si="23"/>
        <v>54</v>
      </c>
      <c r="Y13" s="2">
        <f t="shared" si="23"/>
        <v>57</v>
      </c>
    </row>
    <row r="14" spans="2:25">
      <c r="B14" s="2">
        <f t="shared" ref="B14:I14" si="24">B13+1</f>
        <v>13</v>
      </c>
      <c r="C14" s="2">
        <f t="shared" si="24"/>
        <v>14</v>
      </c>
      <c r="D14" s="2">
        <f t="shared" si="24"/>
        <v>15</v>
      </c>
      <c r="E14" s="2">
        <f t="shared" si="24"/>
        <v>16</v>
      </c>
      <c r="F14" s="2">
        <f t="shared" si="24"/>
        <v>17</v>
      </c>
      <c r="G14" s="2">
        <f t="shared" si="24"/>
        <v>18</v>
      </c>
      <c r="H14" s="2">
        <f t="shared" si="24"/>
        <v>19</v>
      </c>
      <c r="I14" s="2">
        <f t="shared" si="24"/>
        <v>20</v>
      </c>
      <c r="S14" s="2"/>
      <c r="T14" s="2">
        <f t="shared" ref="T14:Y14" si="25">SUMPRODUCT(B14:D16*$M$7:$O$9)</f>
        <v>45</v>
      </c>
      <c r="U14" s="2">
        <f t="shared" si="25"/>
        <v>48</v>
      </c>
      <c r="V14" s="2">
        <f t="shared" si="25"/>
        <v>51</v>
      </c>
      <c r="W14" s="2">
        <f t="shared" si="25"/>
        <v>54</v>
      </c>
      <c r="X14" s="2">
        <f t="shared" si="25"/>
        <v>57</v>
      </c>
      <c r="Y14" s="2">
        <f t="shared" si="25"/>
        <v>60</v>
      </c>
    </row>
    <row r="15" spans="2:25">
      <c r="B15" s="2">
        <f t="shared" ref="B15:I15" si="26">B14+1</f>
        <v>14</v>
      </c>
      <c r="C15" s="2">
        <f t="shared" si="26"/>
        <v>15</v>
      </c>
      <c r="D15" s="2">
        <f t="shared" si="26"/>
        <v>16</v>
      </c>
      <c r="E15" s="2">
        <f t="shared" si="26"/>
        <v>17</v>
      </c>
      <c r="F15" s="2">
        <f t="shared" si="26"/>
        <v>18</v>
      </c>
      <c r="G15" s="2">
        <f t="shared" si="26"/>
        <v>19</v>
      </c>
      <c r="H15" s="2">
        <f t="shared" si="26"/>
        <v>20</v>
      </c>
      <c r="I15" s="2">
        <f t="shared" si="26"/>
        <v>21</v>
      </c>
    </row>
    <row r="16" spans="2:25">
      <c r="B16" s="2">
        <f t="shared" ref="B16:I16" si="27">B15+1</f>
        <v>15</v>
      </c>
      <c r="C16" s="2">
        <f t="shared" si="27"/>
        <v>16</v>
      </c>
      <c r="D16" s="2">
        <f t="shared" si="27"/>
        <v>17</v>
      </c>
      <c r="E16" s="2">
        <f t="shared" si="27"/>
        <v>18</v>
      </c>
      <c r="F16" s="2">
        <f t="shared" si="27"/>
        <v>19</v>
      </c>
      <c r="G16" s="2">
        <f t="shared" si="27"/>
        <v>20</v>
      </c>
      <c r="H16" s="2">
        <f t="shared" si="27"/>
        <v>21</v>
      </c>
      <c r="I16" s="2">
        <f t="shared" si="27"/>
        <v>22</v>
      </c>
    </row>
    <row r="19" spans="9:20">
      <c r="I19" s="3" t="s">
        <v>0</v>
      </c>
      <c r="J19" s="2"/>
      <c r="K19" s="2">
        <f>1</f>
        <v>1</v>
      </c>
      <c r="L19" s="2">
        <v>0</v>
      </c>
      <c r="M19" s="2">
        <f>L19+1</f>
        <v>1</v>
      </c>
      <c r="N19" s="2">
        <v>0</v>
      </c>
      <c r="O19" s="2">
        <f>N19+1</f>
        <v>1</v>
      </c>
      <c r="P19" s="2">
        <v>0</v>
      </c>
      <c r="Q19" s="2">
        <f>P19+1</f>
        <v>1</v>
      </c>
      <c r="R19" s="2">
        <v>0</v>
      </c>
      <c r="T19" s="1">
        <f t="shared" ref="T19:T33" si="28">SUMPRODUCT(B2:I2,$K$19:$R$19)</f>
        <v>16</v>
      </c>
    </row>
    <row r="20" spans="9:20">
      <c r="T20" s="1">
        <f t="shared" si="28"/>
        <v>20</v>
      </c>
    </row>
    <row r="21" spans="9:20">
      <c r="T21" s="1">
        <f t="shared" si="28"/>
        <v>24</v>
      </c>
    </row>
    <row r="22" spans="9:20">
      <c r="T22" s="1">
        <f t="shared" si="28"/>
        <v>28</v>
      </c>
    </row>
    <row r="23" spans="9:20">
      <c r="T23" s="1">
        <f t="shared" si="28"/>
        <v>32</v>
      </c>
    </row>
    <row r="24" spans="9:20">
      <c r="T24" s="1">
        <f t="shared" si="28"/>
        <v>36</v>
      </c>
    </row>
    <row r="25" spans="9:20">
      <c r="T25" s="1">
        <f t="shared" si="28"/>
        <v>40</v>
      </c>
    </row>
    <row r="26" spans="9:20">
      <c r="T26" s="1">
        <f t="shared" si="28"/>
        <v>44</v>
      </c>
    </row>
    <row r="27" spans="9:20">
      <c r="T27" s="1">
        <f t="shared" si="28"/>
        <v>48</v>
      </c>
    </row>
    <row r="28" spans="9:20">
      <c r="T28" s="1">
        <f t="shared" si="28"/>
        <v>52</v>
      </c>
    </row>
    <row r="29" spans="9:20">
      <c r="T29" s="1">
        <f t="shared" si="28"/>
        <v>56</v>
      </c>
    </row>
    <row r="30" spans="9:20">
      <c r="T30" s="1">
        <f t="shared" si="28"/>
        <v>60</v>
      </c>
    </row>
    <row r="31" spans="9:20">
      <c r="T31" s="1">
        <f t="shared" si="28"/>
        <v>64</v>
      </c>
    </row>
    <row r="32" spans="9:20">
      <c r="T32" s="1">
        <f t="shared" si="28"/>
        <v>68</v>
      </c>
    </row>
    <row r="33" spans="9:20">
      <c r="T33" s="1">
        <f t="shared" si="28"/>
        <v>72</v>
      </c>
    </row>
    <row r="36" spans="9:20">
      <c r="I36" s="3" t="s">
        <v>0</v>
      </c>
      <c r="K36" s="2">
        <f>1</f>
        <v>1</v>
      </c>
      <c r="L36" s="2">
        <v>0</v>
      </c>
      <c r="M36" s="2">
        <f>L36+1</f>
        <v>1</v>
      </c>
      <c r="N36" s="2">
        <v>0</v>
      </c>
      <c r="O36" s="2">
        <f>N36+1</f>
        <v>1</v>
      </c>
      <c r="P36" s="2">
        <v>0</v>
      </c>
      <c r="Q36" s="2">
        <f>P36+1</f>
        <v>1</v>
      </c>
      <c r="R36" s="2">
        <v>0</v>
      </c>
      <c r="T36" s="1">
        <f t="shared" ref="T36:T49" si="29">SUMPRODUCT(B2:I3, $K$36:$R$37)</f>
        <v>40</v>
      </c>
    </row>
    <row r="37" spans="9:20">
      <c r="K37" s="2">
        <v>0</v>
      </c>
      <c r="L37" s="2">
        <f>K37+1</f>
        <v>1</v>
      </c>
      <c r="M37" s="2">
        <v>0</v>
      </c>
      <c r="N37" s="2">
        <f>M37+1</f>
        <v>1</v>
      </c>
      <c r="O37" s="2">
        <v>0</v>
      </c>
      <c r="P37" s="2">
        <f>O37+1</f>
        <v>1</v>
      </c>
      <c r="Q37" s="2">
        <v>0</v>
      </c>
      <c r="R37" s="2">
        <f>Q37+1</f>
        <v>1</v>
      </c>
      <c r="T37" s="1">
        <f t="shared" si="29"/>
        <v>48</v>
      </c>
    </row>
    <row r="38" spans="9:20">
      <c r="T38" s="1">
        <f t="shared" si="29"/>
        <v>56</v>
      </c>
    </row>
    <row r="39" spans="9:20">
      <c r="T39" s="1">
        <f t="shared" si="29"/>
        <v>64</v>
      </c>
    </row>
    <row r="40" spans="9:20">
      <c r="T40" s="1">
        <f t="shared" si="29"/>
        <v>72</v>
      </c>
    </row>
    <row r="41" spans="9:20">
      <c r="T41" s="1">
        <f t="shared" si="29"/>
        <v>80</v>
      </c>
    </row>
    <row r="42" spans="9:20">
      <c r="T42" s="1">
        <f t="shared" si="29"/>
        <v>88</v>
      </c>
    </row>
    <row r="43" spans="9:20">
      <c r="T43" s="1">
        <f t="shared" si="29"/>
        <v>96</v>
      </c>
    </row>
    <row r="44" spans="9:20">
      <c r="T44" s="1">
        <f t="shared" si="29"/>
        <v>104</v>
      </c>
    </row>
    <row r="45" spans="9:20">
      <c r="T45" s="1">
        <f t="shared" si="29"/>
        <v>112</v>
      </c>
    </row>
    <row r="46" spans="9:20">
      <c r="T46" s="1">
        <f t="shared" si="29"/>
        <v>120</v>
      </c>
    </row>
    <row r="47" spans="9:20">
      <c r="T47" s="1">
        <f t="shared" si="29"/>
        <v>128</v>
      </c>
    </row>
    <row r="48" spans="9:20">
      <c r="T48" s="1">
        <f t="shared" si="29"/>
        <v>136</v>
      </c>
    </row>
    <row r="49" spans="20:20">
      <c r="T49" s="1">
        <f t="shared" si="29"/>
        <v>144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1C38-35F1-46F7-9E10-BAE9E735E1FC}">
  <dimension ref="A1:Q28"/>
  <sheetViews>
    <sheetView showGridLines="0" workbookViewId="0">
      <selection activeCell="R8" sqref="R8"/>
    </sheetView>
  </sheetViews>
  <sheetFormatPr defaultRowHeight="12.75"/>
  <cols>
    <col min="1" max="5" width="5.5703125" customWidth="1"/>
    <col min="6" max="6" width="11.42578125" customWidth="1"/>
    <col min="7" max="9" width="6.7109375" customWidth="1"/>
    <col min="10" max="10" width="11.140625" customWidth="1"/>
    <col min="11" max="11" width="7.140625" customWidth="1"/>
    <col min="12" max="12" width="22.28515625" customWidth="1"/>
    <col min="13" max="13" width="8.85546875" customWidth="1"/>
    <col min="16" max="17" width="11.140625" customWidth="1"/>
  </cols>
  <sheetData>
    <row r="1" spans="1:17">
      <c r="A1" s="13" t="s">
        <v>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17.25">
      <c r="A4" s="4" t="s">
        <v>2</v>
      </c>
      <c r="G4" s="4" t="s">
        <v>3</v>
      </c>
      <c r="K4" s="4" t="s">
        <v>4</v>
      </c>
      <c r="M4" s="4" t="s">
        <v>5</v>
      </c>
    </row>
    <row r="5" spans="1:17" ht="22.9" customHeight="1">
      <c r="A5" s="5">
        <v>0</v>
      </c>
      <c r="B5" s="6">
        <v>1</v>
      </c>
      <c r="C5" s="6">
        <v>1</v>
      </c>
      <c r="D5" s="6">
        <v>1</v>
      </c>
      <c r="E5" s="5">
        <v>0</v>
      </c>
      <c r="G5" s="7">
        <v>1</v>
      </c>
      <c r="H5" s="7">
        <v>1</v>
      </c>
      <c r="I5" s="7">
        <v>1</v>
      </c>
      <c r="K5" s="8" t="s">
        <v>6</v>
      </c>
      <c r="M5" s="9">
        <f>MAX(0,SUMPRODUCT(A5:C7,$G$5:$I$7))</f>
        <v>0</v>
      </c>
      <c r="N5" s="9">
        <f t="shared" ref="N5:O9" si="0">MAX(0,SUMPRODUCT(B5:D7,$G$5:$I$7))</f>
        <v>5</v>
      </c>
      <c r="O5" s="9">
        <f t="shared" si="0"/>
        <v>2</v>
      </c>
    </row>
    <row r="6" spans="1:17" ht="22.9" customHeight="1">
      <c r="A6" s="5">
        <v>0</v>
      </c>
      <c r="B6" s="6">
        <v>1</v>
      </c>
      <c r="C6" s="5">
        <v>0</v>
      </c>
      <c r="D6" s="5">
        <v>0</v>
      </c>
      <c r="E6" s="5">
        <v>0</v>
      </c>
      <c r="G6" s="7">
        <v>1</v>
      </c>
      <c r="H6" s="7">
        <v>-10</v>
      </c>
      <c r="I6" s="7">
        <v>1</v>
      </c>
      <c r="K6" s="10" t="s">
        <v>7</v>
      </c>
      <c r="M6" s="9">
        <f t="shared" ref="M6:M9" si="1">MAX(0,SUMPRODUCT(A6:C8,$G$5:$I$7))</f>
        <v>0</v>
      </c>
      <c r="N6" s="9">
        <f t="shared" si="0"/>
        <v>5</v>
      </c>
      <c r="O6" s="9">
        <f t="shared" si="0"/>
        <v>2</v>
      </c>
    </row>
    <row r="7" spans="1:17" ht="22.9" customHeight="1">
      <c r="A7" s="5">
        <v>0</v>
      </c>
      <c r="B7" s="6">
        <v>1</v>
      </c>
      <c r="C7" s="5">
        <v>0</v>
      </c>
      <c r="D7" s="5">
        <v>0</v>
      </c>
      <c r="E7" s="5">
        <v>0</v>
      </c>
      <c r="G7" s="7">
        <v>1</v>
      </c>
      <c r="H7" s="7">
        <v>1</v>
      </c>
      <c r="I7" s="7">
        <v>1</v>
      </c>
      <c r="K7" s="10" t="s">
        <v>8</v>
      </c>
      <c r="M7" s="9">
        <f t="shared" si="1"/>
        <v>0</v>
      </c>
      <c r="N7" s="9">
        <f t="shared" si="0"/>
        <v>0</v>
      </c>
      <c r="O7" s="9">
        <f t="shared" si="0"/>
        <v>0</v>
      </c>
    </row>
    <row r="8" spans="1:17" ht="22.9" customHeight="1">
      <c r="A8" s="5">
        <v>0</v>
      </c>
      <c r="B8" s="6">
        <v>1</v>
      </c>
      <c r="C8" s="6">
        <v>1</v>
      </c>
      <c r="D8" s="6">
        <v>1</v>
      </c>
      <c r="E8" s="5">
        <v>0</v>
      </c>
      <c r="K8" s="10" t="s">
        <v>9</v>
      </c>
      <c r="M8" s="9">
        <f t="shared" si="1"/>
        <v>0</v>
      </c>
      <c r="N8" s="11">
        <f t="shared" si="0"/>
        <v>8</v>
      </c>
      <c r="O8" s="9">
        <f t="shared" si="0"/>
        <v>0</v>
      </c>
    </row>
    <row r="9" spans="1:17" ht="22.9" customHeight="1">
      <c r="A9" s="5">
        <v>0</v>
      </c>
      <c r="B9" s="6">
        <v>1</v>
      </c>
      <c r="C9" s="5">
        <v>0</v>
      </c>
      <c r="D9" s="6">
        <v>1</v>
      </c>
      <c r="E9" s="5">
        <v>0</v>
      </c>
      <c r="M9" s="9">
        <f t="shared" si="1"/>
        <v>0</v>
      </c>
      <c r="N9" s="9">
        <f t="shared" si="0"/>
        <v>0</v>
      </c>
      <c r="O9" s="9">
        <f t="shared" si="0"/>
        <v>0</v>
      </c>
    </row>
    <row r="10" spans="1:17" ht="22.9" customHeight="1">
      <c r="A10" s="5">
        <v>0</v>
      </c>
      <c r="B10" s="6">
        <v>1</v>
      </c>
      <c r="C10" s="6">
        <v>1</v>
      </c>
      <c r="D10" s="6">
        <v>1</v>
      </c>
      <c r="E10" s="5">
        <v>0</v>
      </c>
    </row>
    <row r="11" spans="1:17" ht="22.9" customHeight="1">
      <c r="A11" s="5">
        <v>0</v>
      </c>
      <c r="B11" s="5">
        <v>0</v>
      </c>
      <c r="C11" s="5">
        <v>0</v>
      </c>
      <c r="D11" s="5">
        <v>0</v>
      </c>
      <c r="E11" s="5">
        <v>0</v>
      </c>
    </row>
    <row r="14" spans="1:17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</row>
    <row r="15" spans="1:17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9"/>
    </row>
    <row r="16" spans="1:17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9"/>
    </row>
    <row r="17" spans="1:17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9"/>
    </row>
    <row r="18" spans="1:17" ht="39" customHeight="1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</row>
    <row r="21" spans="1:17" ht="17.25">
      <c r="A21" s="4" t="s">
        <v>11</v>
      </c>
      <c r="G21" s="4" t="s">
        <v>3</v>
      </c>
      <c r="K21" s="4" t="s">
        <v>4</v>
      </c>
      <c r="M21" s="4" t="s">
        <v>5</v>
      </c>
    </row>
    <row r="22" spans="1:17" ht="22.9" customHeight="1">
      <c r="A22" s="5">
        <v>0</v>
      </c>
      <c r="B22" s="6">
        <v>1</v>
      </c>
      <c r="C22" s="6">
        <v>1</v>
      </c>
      <c r="D22" s="6">
        <v>1</v>
      </c>
      <c r="E22" s="5">
        <v>0</v>
      </c>
      <c r="G22" s="7">
        <v>1</v>
      </c>
      <c r="H22" s="7">
        <v>1</v>
      </c>
      <c r="I22" s="7">
        <v>1</v>
      </c>
      <c r="K22" s="8"/>
      <c r="M22" s="9">
        <f>MAX(0,SUMPRODUCT(A22:C24,$G$5:$I$7))</f>
        <v>0</v>
      </c>
      <c r="N22" s="11">
        <f t="shared" ref="N22:N26" si="2">MAX(0,SUMPRODUCT(B22:D24,$G$5:$I$7))</f>
        <v>8</v>
      </c>
      <c r="O22" s="9">
        <f t="shared" ref="O22:O26" si="3">MAX(0,SUMPRODUCT(C22:E24,$G$5:$I$7))</f>
        <v>0</v>
      </c>
    </row>
    <row r="23" spans="1:17" ht="22.9" customHeight="1">
      <c r="A23" s="5">
        <v>0</v>
      </c>
      <c r="B23" s="6">
        <v>1</v>
      </c>
      <c r="C23" s="5">
        <v>0</v>
      </c>
      <c r="D23" s="6">
        <v>1</v>
      </c>
      <c r="E23" s="5">
        <v>0</v>
      </c>
      <c r="G23" s="7">
        <v>1</v>
      </c>
      <c r="H23" s="7">
        <v>-10</v>
      </c>
      <c r="I23" s="7">
        <v>1</v>
      </c>
      <c r="K23" s="10"/>
      <c r="M23" s="9">
        <f t="shared" ref="M23:M26" si="4">MAX(0,SUMPRODUCT(A23:C25,$G$5:$I$7))</f>
        <v>0</v>
      </c>
      <c r="N23" s="9">
        <f t="shared" si="2"/>
        <v>0</v>
      </c>
      <c r="O23" s="9">
        <f t="shared" si="3"/>
        <v>0</v>
      </c>
    </row>
    <row r="24" spans="1:17" ht="22.9" customHeight="1">
      <c r="A24" s="5">
        <v>0</v>
      </c>
      <c r="B24" s="6">
        <v>1</v>
      </c>
      <c r="C24" s="6">
        <v>1</v>
      </c>
      <c r="D24" s="6">
        <v>1</v>
      </c>
      <c r="E24" s="5">
        <v>0</v>
      </c>
      <c r="G24" s="7">
        <v>1</v>
      </c>
      <c r="H24" s="7">
        <v>1</v>
      </c>
      <c r="I24" s="7">
        <v>1</v>
      </c>
      <c r="K24" s="10"/>
      <c r="M24" s="9">
        <f t="shared" si="4"/>
        <v>2</v>
      </c>
      <c r="N24" s="9">
        <f t="shared" si="2"/>
        <v>5</v>
      </c>
      <c r="O24" s="9">
        <f t="shared" si="3"/>
        <v>0</v>
      </c>
    </row>
    <row r="25" spans="1:17" ht="22.9" customHeight="1">
      <c r="A25" s="5">
        <v>0</v>
      </c>
      <c r="B25" s="5">
        <v>0</v>
      </c>
      <c r="C25" s="5">
        <v>0</v>
      </c>
      <c r="D25" s="6">
        <v>1</v>
      </c>
      <c r="E25" s="5">
        <v>0</v>
      </c>
      <c r="K25" s="10"/>
      <c r="M25" s="9">
        <f t="shared" si="4"/>
        <v>2</v>
      </c>
      <c r="N25" s="12">
        <f t="shared" si="2"/>
        <v>5</v>
      </c>
      <c r="O25" s="9">
        <f t="shared" si="3"/>
        <v>0</v>
      </c>
    </row>
    <row r="26" spans="1:17" ht="22.9" customHeight="1">
      <c r="A26" s="5">
        <v>0</v>
      </c>
      <c r="B26" s="5">
        <v>0</v>
      </c>
      <c r="C26" s="5">
        <v>0</v>
      </c>
      <c r="D26" s="6">
        <v>1</v>
      </c>
      <c r="E26" s="5">
        <v>0</v>
      </c>
      <c r="M26" s="9">
        <f t="shared" si="4"/>
        <v>0</v>
      </c>
      <c r="N26" s="9">
        <f t="shared" si="2"/>
        <v>0</v>
      </c>
      <c r="O26" s="9">
        <f t="shared" si="3"/>
        <v>0</v>
      </c>
    </row>
    <row r="27" spans="1:17" ht="22.9" customHeight="1">
      <c r="A27" s="5">
        <v>0</v>
      </c>
      <c r="B27" s="6">
        <v>1</v>
      </c>
      <c r="C27" s="6">
        <v>1</v>
      </c>
      <c r="D27" s="6">
        <v>1</v>
      </c>
      <c r="E27" s="5">
        <v>0</v>
      </c>
    </row>
    <row r="28" spans="1:17" ht="22.9" customHeight="1">
      <c r="A28" s="5">
        <v>0</v>
      </c>
      <c r="B28" s="5">
        <v>0</v>
      </c>
      <c r="C28" s="5">
        <v>0</v>
      </c>
      <c r="D28" s="5">
        <v>0</v>
      </c>
      <c r="E28" s="5">
        <v>0</v>
      </c>
    </row>
  </sheetData>
  <mergeCells count="2">
    <mergeCell ref="A1:Q2"/>
    <mergeCell ref="A14:Q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convolution</vt:lpstr>
      <vt:lpstr>cnn_kernel</vt:lpstr>
      <vt:lpstr>cnn_hole_detector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ancestor9</dc:creator>
  <cp:lastModifiedBy>조상구</cp:lastModifiedBy>
  <dcterms:created xsi:type="dcterms:W3CDTF">2026-06-08T12:38:31Z</dcterms:created>
  <dcterms:modified xsi:type="dcterms:W3CDTF">2026-06-11T23:47:17Z</dcterms:modified>
</cp:coreProperties>
</file>